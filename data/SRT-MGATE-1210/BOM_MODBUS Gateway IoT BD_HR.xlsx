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showObjects="none" filterPrivacy="1"/>
  <xr:revisionPtr revIDLastSave="0" documentId="13_ncr:1_{6A1A1602-E113-4450-9B47-0EE8DA68D8B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OM_MODBUS Gateway IoT BD" sheetId="1" r:id="rId1"/>
  </sheets>
  <definedNames>
    <definedName name="_xlnm._FilterDatabase" localSheetId="0">'BOM_MODBUS Gateway IoT BD'!$A$4:$K$99</definedName>
  </definedNames>
  <calcPr calcId="191029"/>
</workbook>
</file>

<file path=xl/calcChain.xml><?xml version="1.0" encoding="utf-8"?>
<calcChain xmlns="http://schemas.openxmlformats.org/spreadsheetml/2006/main">
  <c r="F3" i="1" l="1"/>
</calcChain>
</file>

<file path=xl/sharedStrings.xml><?xml version="1.0" encoding="utf-8"?>
<sst xmlns="http://schemas.openxmlformats.org/spreadsheetml/2006/main" count="941" uniqueCount="487">
  <si>
    <t>CR1220-2</t>
  </si>
  <si>
    <t>BATT1</t>
  </si>
  <si>
    <t>BAT-SMD_CR1220-2</t>
  </si>
  <si>
    <t>Q&amp;J</t>
  </si>
  <si>
    <t>C70381</t>
  </si>
  <si>
    <t>LCSC</t>
  </si>
  <si>
    <t>C1,C2,C3,C8,C9,C10</t>
  </si>
  <si>
    <t>C1210</t>
  </si>
  <si>
    <t>C4,C11</t>
  </si>
  <si>
    <t>CAP-SMD_BD6.3-L6.6-W6.6-FD</t>
  </si>
  <si>
    <t>C0603</t>
  </si>
  <si>
    <t>C6,C13</t>
  </si>
  <si>
    <t>C15,C16</t>
  </si>
  <si>
    <t>C17,C18</t>
  </si>
  <si>
    <t>C19</t>
  </si>
  <si>
    <t>C20</t>
  </si>
  <si>
    <t>C21</t>
  </si>
  <si>
    <t>C30</t>
  </si>
  <si>
    <t>C36,C69</t>
  </si>
  <si>
    <t>C49,C52</t>
  </si>
  <si>
    <t>C63</t>
  </si>
  <si>
    <t>C1206</t>
  </si>
  <si>
    <t>1206B102K202NT</t>
  </si>
  <si>
    <t>C9196</t>
  </si>
  <si>
    <t>C64</t>
  </si>
  <si>
    <t>C66,C72</t>
  </si>
  <si>
    <t>1206B472K202NT</t>
  </si>
  <si>
    <t>C41017</t>
  </si>
  <si>
    <t>C68</t>
  </si>
  <si>
    <t>CN1</t>
  </si>
  <si>
    <t>CONN-TH_5P-P5.00_DB2ER-5.0-5P-GN</t>
  </si>
  <si>
    <t>DB2ER-5.0-5P-GN</t>
  </si>
  <si>
    <t>HX TYPE-C 16PIN</t>
  </si>
  <si>
    <t>CN2</t>
  </si>
  <si>
    <t>TYPE-C-SMD_HX-TYPE-C-16PIN</t>
  </si>
  <si>
    <t>C5178539</t>
  </si>
  <si>
    <t>DB2ER-5.0-3P-GN</t>
  </si>
  <si>
    <t>CN3,CN5</t>
  </si>
  <si>
    <t>CONN-TH_DB2ER-5.0-3P-GN</t>
  </si>
  <si>
    <t>C5454429</t>
  </si>
  <si>
    <t>SD-01A</t>
  </si>
  <si>
    <t>CN4</t>
  </si>
  <si>
    <t>SD-SMD_SD-01A</t>
  </si>
  <si>
    <t>C693845</t>
  </si>
  <si>
    <t>CN6</t>
  </si>
  <si>
    <t>HANRUN</t>
  </si>
  <si>
    <t>SS36B</t>
  </si>
  <si>
    <t>D1,D2,D4,D6,D7</t>
  </si>
  <si>
    <t>SMB_L4.4-W3.6-LS5.3-R-RD</t>
  </si>
  <si>
    <t>C880748</t>
  </si>
  <si>
    <t>B560C-13-F</t>
  </si>
  <si>
    <t>D3</t>
  </si>
  <si>
    <t>SMC_L7.1-W6.2-LS8.1-RD</t>
  </si>
  <si>
    <t>C85100</t>
  </si>
  <si>
    <t>D5</t>
  </si>
  <si>
    <t>SOT-23_L2.9-W1.3-P1.90-LS2.4-BR</t>
  </si>
  <si>
    <t>C82469</t>
  </si>
  <si>
    <t>1N4148W</t>
  </si>
  <si>
    <t>SOD-123F_L2.7-W1.6-LS3.8-RD</t>
  </si>
  <si>
    <t>C81598</t>
  </si>
  <si>
    <t>D9,D10,D12,D18</t>
  </si>
  <si>
    <t>DO-214AC_L4.3-W2.7-LS5.0-BI</t>
  </si>
  <si>
    <t>C19077555</t>
  </si>
  <si>
    <t>LESD8D3.3CAT5G</t>
  </si>
  <si>
    <t>D13,D14,D15,D16,D17</t>
  </si>
  <si>
    <t>DFN-2_L1.0-W0.6-P0.65-BI</t>
  </si>
  <si>
    <t>SMAJ58A</t>
  </si>
  <si>
    <t>D20</t>
  </si>
  <si>
    <t>SMA_L4.4-W2.8-LS5.4-RD</t>
  </si>
  <si>
    <t>PESD24VS2UT</t>
  </si>
  <si>
    <t>ESD1,ESD2</t>
  </si>
  <si>
    <t>SOT-23-3_L2.9-W1.3-P1.90-LS2.4-BR</t>
  </si>
  <si>
    <t>C2831523</t>
  </si>
  <si>
    <t>PRTR5V0U2F</t>
  </si>
  <si>
    <t>ESD3</t>
  </si>
  <si>
    <t>SON-6_L1.5-W1.0-P0.50-BL</t>
  </si>
  <si>
    <t>C2937001</t>
  </si>
  <si>
    <t>F1</t>
  </si>
  <si>
    <t>F1206</t>
  </si>
  <si>
    <t>C70085</t>
  </si>
  <si>
    <t>ASMD1206-010</t>
  </si>
  <si>
    <t>F2,F3,F4,F5</t>
  </si>
  <si>
    <t>C135334</t>
  </si>
  <si>
    <t>BSMD1210-200-6V</t>
  </si>
  <si>
    <t>F6</t>
  </si>
  <si>
    <t>F1210</t>
  </si>
  <si>
    <t>C914221</t>
  </si>
  <si>
    <t>BLM18PG330SN1D</t>
  </si>
  <si>
    <t>FB1,FB2,FB3,FB4,FB5</t>
  </si>
  <si>
    <t>L0603</t>
  </si>
  <si>
    <t>C88984</t>
  </si>
  <si>
    <t>BLM18PG121SN1D</t>
  </si>
  <si>
    <t>C14709</t>
  </si>
  <si>
    <t>MMZ2012S102ATD25</t>
  </si>
  <si>
    <t>FB12,FB13</t>
  </si>
  <si>
    <t>L0805</t>
  </si>
  <si>
    <t>TDK</t>
  </si>
  <si>
    <t>C502000</t>
  </si>
  <si>
    <t>L1</t>
  </si>
  <si>
    <t>IND-SMD_L12.0-W12.0_CDRH127NP</t>
  </si>
  <si>
    <t>CDRH127/LDNP-120MC</t>
  </si>
  <si>
    <t>C2454046</t>
  </si>
  <si>
    <t>LED1</t>
  </si>
  <si>
    <t>D0603-RD</t>
  </si>
  <si>
    <t>LED2-3,LED4-5,LED6-7,LED8-9</t>
  </si>
  <si>
    <t>LED-TH_A694B2SYGS530-E2</t>
  </si>
  <si>
    <t>C2844823</t>
  </si>
  <si>
    <t>YJL3401A</t>
  </si>
  <si>
    <t>Q1,Q3</t>
  </si>
  <si>
    <t>C393520</t>
  </si>
  <si>
    <t>Q2,Q5</t>
  </si>
  <si>
    <t>SOT-323-3_L2.1-W1.3-P1.30-LS2.3-BR</t>
  </si>
  <si>
    <t>DMN62D0U-7</t>
  </si>
  <si>
    <t>Q4</t>
  </si>
  <si>
    <t>C151421</t>
  </si>
  <si>
    <t>Q6,Q7</t>
  </si>
  <si>
    <t>SS8050W Y1</t>
  </si>
  <si>
    <t>C2836073</t>
  </si>
  <si>
    <t>R1,R5,R11,R13,R17,R21,R26,R75,R76,R79,R81,R105</t>
  </si>
  <si>
    <t>R0603</t>
  </si>
  <si>
    <t>R2,R9,R14,R22,R23,R49,R50,R57,R58,R70,R71,R72,R73,R74,R108,R109,R110,R111</t>
  </si>
  <si>
    <t>R3,R15</t>
  </si>
  <si>
    <t>R4,R16</t>
  </si>
  <si>
    <t>R6,R18</t>
  </si>
  <si>
    <t>R8,R20</t>
  </si>
  <si>
    <t>R10,R25</t>
  </si>
  <si>
    <t>R12,R27,R37,R38,R39,R40,R104</t>
  </si>
  <si>
    <t>WR06X000 PTL</t>
  </si>
  <si>
    <t>R29</t>
  </si>
  <si>
    <t>NOPOP</t>
  </si>
  <si>
    <t>R30</t>
  </si>
  <si>
    <t>R32</t>
  </si>
  <si>
    <t>R33</t>
  </si>
  <si>
    <t>R34</t>
  </si>
  <si>
    <t>R35</t>
  </si>
  <si>
    <t>R36</t>
  </si>
  <si>
    <t>R44</t>
  </si>
  <si>
    <t>R45,R46,R47,R48,R52,R53,R55,R56</t>
  </si>
  <si>
    <t>R51,R54</t>
  </si>
  <si>
    <t>R59,R60,R77,R78</t>
  </si>
  <si>
    <t>R66,R86</t>
  </si>
  <si>
    <t>R69,R88</t>
  </si>
  <si>
    <t>R94</t>
  </si>
  <si>
    <t>R95,R96,R101,R102</t>
  </si>
  <si>
    <t>R97,R98,R99,R100</t>
  </si>
  <si>
    <t>R103</t>
  </si>
  <si>
    <t>R106,R107</t>
  </si>
  <si>
    <t>SKRKAEE020</t>
  </si>
  <si>
    <t>SW1</t>
  </si>
  <si>
    <t>SW-SMD_L3.9-W3.0-P4.45</t>
  </si>
  <si>
    <t>C115357</t>
  </si>
  <si>
    <t>SKHHLMA010</t>
  </si>
  <si>
    <t>SW2</t>
  </si>
  <si>
    <t>KEY-TH_SKHHLMA010</t>
  </si>
  <si>
    <t>C139762</t>
  </si>
  <si>
    <t>DA-03BLP</t>
  </si>
  <si>
    <t>SW3,SW4</t>
  </si>
  <si>
    <t>SW-TH_6P-L9.2-W5.5-P2.54-LS2.54</t>
  </si>
  <si>
    <t>C692491</t>
  </si>
  <si>
    <t>TPS26600PWPR</t>
  </si>
  <si>
    <t>U1,U2</t>
  </si>
  <si>
    <t>HTSSOP-16_L5.0-W4.4-P0.65-LS6.4-BL-EP2.5</t>
  </si>
  <si>
    <t>C544399</t>
  </si>
  <si>
    <t>CD4069UBM96</t>
  </si>
  <si>
    <t>U3,U10</t>
  </si>
  <si>
    <t>SOIC-14_L8.7-W3.9-P1.27-LS6.0-BL</t>
  </si>
  <si>
    <t>C93672</t>
  </si>
  <si>
    <t>TPS54360BDDAR</t>
  </si>
  <si>
    <t>U4</t>
  </si>
  <si>
    <t>SOIC-8_L5.0-W4.0-P1.27-LS6.0-BL-EP2.0</t>
  </si>
  <si>
    <t>C524806</t>
  </si>
  <si>
    <t>U5</t>
  </si>
  <si>
    <t>WIRELM-SMD_ESP32-S3-WROOM-1U</t>
  </si>
  <si>
    <t>C3013946</t>
  </si>
  <si>
    <t>DS3231SN#</t>
  </si>
  <si>
    <t>U6</t>
  </si>
  <si>
    <t>SOIC-16_L10.3-W7.5-P1.27-LS10.3-BL</t>
  </si>
  <si>
    <t>C722469</t>
  </si>
  <si>
    <t>U7</t>
  </si>
  <si>
    <t>SOT-223-4_L6.5-W3.5-P2.30-LS7.0-BR</t>
  </si>
  <si>
    <t>C35879</t>
  </si>
  <si>
    <t>CH340G</t>
  </si>
  <si>
    <t>U8</t>
  </si>
  <si>
    <t>SOIC-16_L9.9-W3.9-P1.27-LS6.0-BL</t>
  </si>
  <si>
    <t>C14267</t>
  </si>
  <si>
    <t>MAX485ESA+T</t>
  </si>
  <si>
    <t>U9,U11</t>
  </si>
  <si>
    <t>SOIC-8_L5.0-W4.0-P1.27-LS6.0-BL</t>
  </si>
  <si>
    <t>C19738</t>
  </si>
  <si>
    <t>W5500</t>
  </si>
  <si>
    <t>U13</t>
  </si>
  <si>
    <t>LQFP-48_L7.0-W7.0-P0.50-LS9.0-BL</t>
  </si>
  <si>
    <t>WIZNET</t>
  </si>
  <si>
    <t>C32843</t>
  </si>
  <si>
    <t>DP9900M-5V</t>
  </si>
  <si>
    <t>U14</t>
  </si>
  <si>
    <t>PWRM-SMD_DP9900M-5V</t>
  </si>
  <si>
    <t>C5380106</t>
  </si>
  <si>
    <t>X1</t>
  </si>
  <si>
    <t>CRYSTAL-SMD_3P-L3.2-W1.3-P1.2-BL</t>
  </si>
  <si>
    <t>CSTNE12M0G55A000R0</t>
  </si>
  <si>
    <t>C907940</t>
  </si>
  <si>
    <t>Y1</t>
  </si>
  <si>
    <t>CRYSTAL-SMD_4P-L3.2-W2.5-BL</t>
  </si>
  <si>
    <t>X322525MOB4SI</t>
  </si>
  <si>
    <t>C9006</t>
  </si>
  <si>
    <t>QTY</t>
  </si>
  <si>
    <t>UOM</t>
  </si>
  <si>
    <t>EA</t>
  </si>
  <si>
    <t>IC</t>
  </si>
  <si>
    <t>CATEGORY</t>
  </si>
  <si>
    <t>FOOTPRINT</t>
  </si>
  <si>
    <r>
      <t>SUPPLIER P/N</t>
    </r>
    <r>
      <rPr>
        <b/>
        <sz val="7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(OPTIONAL)</t>
    </r>
  </si>
  <si>
    <r>
      <t xml:space="preserve">SUPPLIER NAME </t>
    </r>
    <r>
      <rPr>
        <b/>
        <sz val="10"/>
        <color theme="1"/>
        <rFont val="Arial"/>
        <family val="2"/>
      </rPr>
      <t>(OPTIONAL)</t>
    </r>
  </si>
  <si>
    <t>PROCESS</t>
  </si>
  <si>
    <t>BOM: MODBUS Gateway IoT BD REV A</t>
  </si>
  <si>
    <t>PART NUMBER</t>
  </si>
  <si>
    <t>ST</t>
  </si>
  <si>
    <t>MANUFACTURER</t>
  </si>
  <si>
    <t>TOP</t>
  </si>
  <si>
    <t>MI</t>
  </si>
  <si>
    <t>REF DESIGNATOR</t>
  </si>
  <si>
    <t>BOT</t>
  </si>
  <si>
    <t>C14,C44,C45,C50,C51</t>
  </si>
  <si>
    <t>D8</t>
  </si>
  <si>
    <t>D11,D19</t>
  </si>
  <si>
    <t>FB7,FB9</t>
  </si>
  <si>
    <t>FB6,FB8,FB10,FB11</t>
  </si>
  <si>
    <t>R63,R64,R65,R67,R83,R84,R85,R87</t>
  </si>
  <si>
    <t>R41,R42,R43</t>
  </si>
  <si>
    <t>50TZV47M6.3X8</t>
  </si>
  <si>
    <t>RUBYCON</t>
  </si>
  <si>
    <t>C88734</t>
  </si>
  <si>
    <t>BATTERY HOLDER</t>
  </si>
  <si>
    <t>CHIP CAPACITOR,X7R,10uF,10%,50V,1210</t>
  </si>
  <si>
    <t>BATT HOLDER,CR1220, SMD</t>
  </si>
  <si>
    <t>YAGEO</t>
  </si>
  <si>
    <t>SAMWHA</t>
  </si>
  <si>
    <t>C2918502</t>
  </si>
  <si>
    <t>CS3225X7R106K500NRL</t>
  </si>
  <si>
    <t>CHIP CAPACITOR</t>
  </si>
  <si>
    <t>ELECTROLYTIC CAPACITOR</t>
  </si>
  <si>
    <t>CONNECTOR</t>
  </si>
  <si>
    <t>SCHOTTKY DIODE</t>
  </si>
  <si>
    <t>ZENER DIODE</t>
  </si>
  <si>
    <t>SWITCHING DIODE</t>
  </si>
  <si>
    <t>TVS/ESD DIODE</t>
  </si>
  <si>
    <t>RESETTABLE FUSE</t>
  </si>
  <si>
    <t>FERRITE BEAD</t>
  </si>
  <si>
    <t>INDUCTORS</t>
  </si>
  <si>
    <t>LED INDICATION</t>
  </si>
  <si>
    <t>MOSFET</t>
  </si>
  <si>
    <t>DIGITAL TRANSISTOR</t>
  </si>
  <si>
    <t>CHIP RESISTOR</t>
  </si>
  <si>
    <t>TACTILE SWITCH</t>
  </si>
  <si>
    <t>LOGIC IC</t>
  </si>
  <si>
    <t>POWER IC</t>
  </si>
  <si>
    <t>MODULES</t>
  </si>
  <si>
    <t>RESONATOR</t>
  </si>
  <si>
    <t>CRYSTAL</t>
  </si>
  <si>
    <t>DIP SWITCH</t>
  </si>
  <si>
    <t>E-CAP,4.7uF,20%,50V,TZV,SMD</t>
  </si>
  <si>
    <t>CL10A226MQ8NRNC</t>
  </si>
  <si>
    <t>CHIP CAPACITOR,X5R,22uF,20%,6.3V,0603</t>
  </si>
  <si>
    <t>SAMSUNG</t>
  </si>
  <si>
    <t>C59461</t>
  </si>
  <si>
    <t>C5,C12,C26</t>
  </si>
  <si>
    <t>CHIP CAPACITOR,X7R,47nF,10%,50V,0603</t>
  </si>
  <si>
    <t>CC0603KRX7R9BB473</t>
  </si>
  <si>
    <t>C107093</t>
  </si>
  <si>
    <t>C7,C22,C23,C24,C25,C43,C71,C76,C77</t>
  </si>
  <si>
    <t>CHIP CAPACITOR,X5R,4.7uF,10%,25V,0603</t>
  </si>
  <si>
    <t>CC0603KRX5R8BB475</t>
  </si>
  <si>
    <t>C326580</t>
  </si>
  <si>
    <t>CC0603KRX7R9BB104</t>
  </si>
  <si>
    <t>C14663</t>
  </si>
  <si>
    <t>CHIP CAPACITOR,X7R,0.1uF,10%,50V,0603</t>
  </si>
  <si>
    <t>CL32A107MPVNNNE</t>
  </si>
  <si>
    <t>C23742</t>
  </si>
  <si>
    <t>CHIP CAPACITOR,X5R,100uF,20%,10V,1210</t>
  </si>
  <si>
    <t>CC0603KRX7R9BB123</t>
  </si>
  <si>
    <t>CHIP CAPACITOR,X7R,12nF,10%,50V,0603</t>
  </si>
  <si>
    <t>C107074</t>
  </si>
  <si>
    <t>CL10C100JB8NNNC</t>
  </si>
  <si>
    <t>C1634</t>
  </si>
  <si>
    <t>CHIP CAPACITOR,COG,10pF,5%,50V,0603</t>
  </si>
  <si>
    <t>CL10C220JB8NNNC</t>
  </si>
  <si>
    <t>CHIP CAPACITOR,COG,22pF,5%,50V,0603</t>
  </si>
  <si>
    <t>C1653</t>
  </si>
  <si>
    <t>CC0603KRX5R8BB105</t>
  </si>
  <si>
    <t>CHIP CAPACITOR,X5R,1uF,10%,25V,0603</t>
  </si>
  <si>
    <t>C14664</t>
  </si>
  <si>
    <t>CL10A106MQ8NNNC</t>
  </si>
  <si>
    <t>CHIP CAPACITOR,X5R,10uF,20%,6.3V,0603</t>
  </si>
  <si>
    <t>C1691</t>
  </si>
  <si>
    <t>CHIP CAPACITOR,X5R,22uF,20%,10V,0603</t>
  </si>
  <si>
    <t>CL10A226MP8NUNE</t>
  </si>
  <si>
    <t>C86295</t>
  </si>
  <si>
    <t>C32,C35,C54,C56,C46</t>
  </si>
  <si>
    <t>CL10C101JB8NNNC</t>
  </si>
  <si>
    <t>CHIP CAPACITOR,COG,100pF,5%,50V,0603</t>
  </si>
  <si>
    <t>C14858</t>
  </si>
  <si>
    <t>FH</t>
  </si>
  <si>
    <t>CHIP CAPACITOR,X7R,1nF,10%,2kV,1206</t>
  </si>
  <si>
    <t>CHIP CAPACITOR,X7R,22nF,10%,50V,0603</t>
  </si>
  <si>
    <t>CL10B223KB8NNNC</t>
  </si>
  <si>
    <t>C21122</t>
  </si>
  <si>
    <t>CHIP CAPACITOR,X7R,4.7nF,10%,2kV,1206</t>
  </si>
  <si>
    <t>CHIP CAPACITOR,X7R,10nF,10%,50V,0603</t>
  </si>
  <si>
    <t>CL10B103KB8NNNC</t>
  </si>
  <si>
    <t>C1589</t>
  </si>
  <si>
    <t>CONNECTOR,USB TYPE-C,FEMALE,R/A,SMD,16P</t>
  </si>
  <si>
    <t>HANXIA</t>
  </si>
  <si>
    <t>DORABO</t>
  </si>
  <si>
    <t>CONNECTOR,PLUGGABLE TERMINAL BLOCK,P=5MM,3P</t>
  </si>
  <si>
    <t>CONNECTOR,PLUGGABLE TERMINAL BLOCK,P=5MM,5P</t>
  </si>
  <si>
    <t>CONNECTOR,SLOT MICROSD,1.9MM</t>
  </si>
  <si>
    <t>KOREAN HROPARS</t>
  </si>
  <si>
    <t>SLKORMICRO</t>
  </si>
  <si>
    <t>DIODES</t>
  </si>
  <si>
    <t>SCHOTTKY DIODE,60V,SMB DO-214AA</t>
  </si>
  <si>
    <t>SCHOTTKY DIODE,60V,SMB DO-214AB</t>
  </si>
  <si>
    <t>BZX84C8V2LT1G</t>
  </si>
  <si>
    <t>ONSEMI</t>
  </si>
  <si>
    <t>HONGJIACHENG</t>
  </si>
  <si>
    <t>P4SMA6.8CA</t>
  </si>
  <si>
    <t>ZENER DIODE,8.2V,SOT-23</t>
  </si>
  <si>
    <t>SEMTECH</t>
  </si>
  <si>
    <t>DIODE,75V,SOD-123</t>
  </si>
  <si>
    <t>BIDIRECTIONAL TVS DIODE,38.1A,SMA</t>
  </si>
  <si>
    <t>BIDIRECTIONAL TVS DIODE,6A,SOD-882</t>
  </si>
  <si>
    <t>C172409</t>
  </si>
  <si>
    <t>LRC</t>
  </si>
  <si>
    <t>TVS DIODE,4.3A,SMA(DO-214AC)</t>
  </si>
  <si>
    <t>RUILON</t>
  </si>
  <si>
    <t>C10762</t>
  </si>
  <si>
    <t>UMW</t>
  </si>
  <si>
    <t>TVS DIODE,24V,SOT-23</t>
  </si>
  <si>
    <t>TVS DIODE,SON-6(1x1.5)</t>
  </si>
  <si>
    <t>TECH PUBLIC</t>
  </si>
  <si>
    <t>TECHFUSE</t>
  </si>
  <si>
    <t>nSMD200</t>
  </si>
  <si>
    <t>RESETTABLE FUSE,6V,2A,1206</t>
  </si>
  <si>
    <t>RESETTABLE FUSE,10A,1206</t>
  </si>
  <si>
    <t>JDT FUSE</t>
  </si>
  <si>
    <t>RESETTABLE FUSE,6V,2A,1210</t>
  </si>
  <si>
    <t>BHFUSE</t>
  </si>
  <si>
    <t>FERRITE BEAD,EMI SUPPRESSION FILTERS,33OHM,0603</t>
  </si>
  <si>
    <t>MURATA</t>
  </si>
  <si>
    <t>FERRITE BEAD,EMI SUPPRESSION FILTERS,120OHM,0603</t>
  </si>
  <si>
    <t>FERRITE BEAD,EMI SUPPRESSION FILTERS,1KOHM,0805</t>
  </si>
  <si>
    <t>INDUCTOR, HIGH POWER INDUCTOR,12uH,6.45A,SMD 12x12MM</t>
  </si>
  <si>
    <t>SUMIDA</t>
  </si>
  <si>
    <t>BL-HUF36D-AV-TRB</t>
  </si>
  <si>
    <t>LED,CHIP LED,RED,0603</t>
  </si>
  <si>
    <t>C94740</t>
  </si>
  <si>
    <t>BRIGHT LED</t>
  </si>
  <si>
    <t>PARALIGHT</t>
  </si>
  <si>
    <t>LH32K039F</t>
  </si>
  <si>
    <t>LED,PLUGIN LED HOLDER,DIP-4-2.54mm</t>
  </si>
  <si>
    <t>MOSFET,P-CHANNEL,SOT-23(TO-236)</t>
  </si>
  <si>
    <t>YANGJIE</t>
  </si>
  <si>
    <t>DIGITAL TRANSISTOR,NPN,SOT-323-3</t>
  </si>
  <si>
    <t>DTC114EUA</t>
  </si>
  <si>
    <t>C55054</t>
  </si>
  <si>
    <t>JIANGSU</t>
  </si>
  <si>
    <t>MOSFET,N-CHANNEL,SOT-23</t>
  </si>
  <si>
    <t>BIPOLAR TRANSISTOR,NPN,SOT-323-3</t>
  </si>
  <si>
    <t>CBI</t>
  </si>
  <si>
    <t>BIPOLAR TRANSISTOR</t>
  </si>
  <si>
    <t>WALSIN</t>
  </si>
  <si>
    <t>R28,R31,R61,R62,R68,R82,R80,R89</t>
  </si>
  <si>
    <t>C2909476</t>
  </si>
  <si>
    <t>CHIP RESISTOR,0.100W,1%,10K,0603</t>
  </si>
  <si>
    <t>CHIP RESISTOR,0.100W,1%,0,0603</t>
  </si>
  <si>
    <t>RC0603FR-0710KL</t>
  </si>
  <si>
    <t>C98220</t>
  </si>
  <si>
    <t>CHIP RESISTOR,0.100W,1%,887K,0603</t>
  </si>
  <si>
    <t>RC0603FR-07887KL</t>
  </si>
  <si>
    <t>C246015</t>
  </si>
  <si>
    <t>CHIP RESISTOR,0.100W,1%,100K,0603</t>
  </si>
  <si>
    <t>RC0603FR-07100KL</t>
  </si>
  <si>
    <t>C14675</t>
  </si>
  <si>
    <t>RC0603FR-0790K9L</t>
  </si>
  <si>
    <t>C185305</t>
  </si>
  <si>
    <t>CHIP RESISTOR,0.100W,1%,90.9K,0603</t>
  </si>
  <si>
    <t>CHIP RESISTOR,0.100W,1%,20K,0603</t>
  </si>
  <si>
    <t>RC0603FR-0720KL</t>
  </si>
  <si>
    <t>C105575</t>
  </si>
  <si>
    <t>CHIP RESISTOR,0.100W,1%,5.36K,0603</t>
  </si>
  <si>
    <t>RC0603FR-075K36L</t>
  </si>
  <si>
    <t>C185316</t>
  </si>
  <si>
    <t>CHIP RESISTOR,0.100W,1%,30.1K,0603</t>
  </si>
  <si>
    <t>RC0603FR-0730K1L</t>
  </si>
  <si>
    <t>C137745</t>
  </si>
  <si>
    <t>CHIP RESISTOR,0.100W,1%,1M,0603</t>
  </si>
  <si>
    <t>RC0603FR-071ML</t>
  </si>
  <si>
    <t>C105578</t>
  </si>
  <si>
    <t>R7,R19</t>
  </si>
  <si>
    <t>CHIP RESISTOR,0.100W,1%,1K,0603</t>
  </si>
  <si>
    <t>RC0603FR-071KL</t>
  </si>
  <si>
    <t>C22548</t>
  </si>
  <si>
    <t>CHIP RESISTOR,0.100W,1%,36.5K,0603</t>
  </si>
  <si>
    <t>RC0603FR-0736K5L</t>
  </si>
  <si>
    <t>C137738</t>
  </si>
  <si>
    <t>CHIP RESISTOR,0.100W,1%,59K,0603</t>
  </si>
  <si>
    <t>RC0603FR-0759KL</t>
  </si>
  <si>
    <t>C309564</t>
  </si>
  <si>
    <t>CHIP RESISTOR,0.100W,1%,18.7K,0603</t>
  </si>
  <si>
    <t>RC0603FR-0718K7L</t>
  </si>
  <si>
    <t>C155690</t>
  </si>
  <si>
    <t>CHIP RESISTOR,0.100W,1%,21K,0603</t>
  </si>
  <si>
    <t>RC0603FR-0721KL</t>
  </si>
  <si>
    <t>C137769</t>
  </si>
  <si>
    <t>RC0603FR-07365KL</t>
  </si>
  <si>
    <t>CHIP RESISTOR,0.100W,1%,365K,0603</t>
  </si>
  <si>
    <t>C185336</t>
  </si>
  <si>
    <t>CHIP RESISTOR,0.100W,1%,11.7K,0603</t>
  </si>
  <si>
    <t>RC0603FR-0711K5L</t>
  </si>
  <si>
    <t>C137802</t>
  </si>
  <si>
    <t>CHIP RESISTOR,0.100W,1%,4.7K,0603</t>
  </si>
  <si>
    <t>RC0603FR-074K7L</t>
  </si>
  <si>
    <t>C99782</t>
  </si>
  <si>
    <t>CHIP RESISTOR,0.100W,1%,220,0603</t>
  </si>
  <si>
    <t>RC0603FR-07220RL</t>
  </si>
  <si>
    <t>C107696</t>
  </si>
  <si>
    <t>CHIP RESISTOR,0.100W,1%,470,0603</t>
  </si>
  <si>
    <t>RC0603FR-07470RL</t>
  </si>
  <si>
    <t>C114669</t>
  </si>
  <si>
    <t>CHIP RESISTOR,0.100W,1%,5.1K,0603</t>
  </si>
  <si>
    <t>RC0603FR-075K1L</t>
  </si>
  <si>
    <t>C105580</t>
  </si>
  <si>
    <t>CHIP RESISTOR,0.100W,1%,1.6K,0603</t>
  </si>
  <si>
    <t>RC0603FR-071K6L</t>
  </si>
  <si>
    <t>C165489</t>
  </si>
  <si>
    <t>RC0603FR-07120RL</t>
  </si>
  <si>
    <t>C114640</t>
  </si>
  <si>
    <t>RC0603FR-0756KL</t>
  </si>
  <si>
    <t>C114630</t>
  </si>
  <si>
    <t>RC0603FR-0710RL</t>
  </si>
  <si>
    <t>C109318</t>
  </si>
  <si>
    <t>RC0603FR-0749R9L</t>
  </si>
  <si>
    <t>C114625</t>
  </si>
  <si>
    <t>RC0603FR-0733RL</t>
  </si>
  <si>
    <t>C108661</t>
  </si>
  <si>
    <t>RC0603FR-0712K4L</t>
  </si>
  <si>
    <t>C137798</t>
  </si>
  <si>
    <t>RC0603FR-07330RL</t>
  </si>
  <si>
    <t>C105881</t>
  </si>
  <si>
    <t>ALPSALPINE</t>
  </si>
  <si>
    <t>SWITCH,TACTILE SPST,SMD,2P</t>
  </si>
  <si>
    <t>SWITCH,PLUGIN TACTILE,R/A,SPST,4P</t>
  </si>
  <si>
    <t>XKB CONNECTIVITY</t>
  </si>
  <si>
    <t>DIP SWITCH,3 POSITION,SPST,R/A,THT</t>
  </si>
  <si>
    <t>IC, 4.2V-60V,0.1-2.23A,EFUSE SPDs</t>
  </si>
  <si>
    <t>TEXAS INSTRUMENT</t>
  </si>
  <si>
    <t>IC,CMOS HEX INVERTER,6-CH</t>
  </si>
  <si>
    <t>IC,3.5A,4.5-60V,ADJ DC DC STEP DOWN</t>
  </si>
  <si>
    <t>ESP32-S3-WROOM-1U-N16R8</t>
  </si>
  <si>
    <t>MODULE,ESP32-S3-WROOM-1U-N16R8</t>
  </si>
  <si>
    <t>ESPRESSIF</t>
  </si>
  <si>
    <t>ADI</t>
  </si>
  <si>
    <t>IC,I2C,REAL TIME CLOCK</t>
  </si>
  <si>
    <t>IC,VOLTAGE REGULATOR,3,3V FIX</t>
  </si>
  <si>
    <t>WCH</t>
  </si>
  <si>
    <t>IC,TRANSCEIVER USB 2.0,USB CONVERTER UART</t>
  </si>
  <si>
    <t>LD1117S33CTR</t>
  </si>
  <si>
    <t>IC,TRANSCEIVER RS-485</t>
  </si>
  <si>
    <t>IC,ETHERNET CONTROLLER</t>
  </si>
  <si>
    <t>SDAPO</t>
  </si>
  <si>
    <t>MODULE,ETHERNET PSU (POE)</t>
  </si>
  <si>
    <t>XTAL,12MHz SMD CERAMIC RESONATOR</t>
  </si>
  <si>
    <t>XTAL,25MHZ CRYSTAL</t>
  </si>
  <si>
    <t>YXC</t>
  </si>
  <si>
    <t>C395762</t>
  </si>
  <si>
    <t>COMMENT</t>
  </si>
  <si>
    <t>CONNECTOR,MODULAR, ETHERNET RJ45,POE,16P</t>
  </si>
  <si>
    <t>HR861153C</t>
  </si>
  <si>
    <t>C19724782</t>
  </si>
  <si>
    <t>CHIP RESISTOR,0.100W,1%,120,0603</t>
  </si>
  <si>
    <t>CHIP RESISTOR,0.100W,1%,56K,0603</t>
  </si>
  <si>
    <t>CHIP RESISTOR,0.100W,1%,10,0603</t>
  </si>
  <si>
    <t>CHIP RESISTOR,0.100W,1%,49.9,0603</t>
  </si>
  <si>
    <t>CHIP RESISTOR,0.100W,1%,33,0603</t>
  </si>
  <si>
    <t>CHIP RESISTOR,0.100W,1%,12.4K,0603</t>
  </si>
  <si>
    <t>CHIP RESISTOR,0.100W,1%,330,0603</t>
  </si>
  <si>
    <r>
      <t>C27,C28,C29,C31,C33,C34,C37,C38,C39,C40,C41,C42,C47,C48,C55,C57,C58,C59,C60,C61,C62,C65,C67,C70,C73,</t>
    </r>
    <r>
      <rPr>
        <sz val="11"/>
        <color rgb="FFFF0000"/>
        <rFont val="Arial"/>
        <family val="2"/>
      </rPr>
      <t>C74,C75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</si>
</sst>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7"/>
      <color theme="1"/>
      <name val="Arial"/>
      <family val="2"/>
    </font>
    <font>
      <strike/>
      <sz val="11"/>
      <color theme="1"/>
      <name val="Arial"/>
      <family val="2"/>
    </font>
    <font>
      <strike/>
      <sz val="11"/>
      <color theme="1"/>
      <name val="Calibri"/>
      <family val="2"/>
      <scheme val="minor"/>
    </font>
    <font>
      <sz val="11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5" fillId="0" borderId="0" xfId="0" applyFont="1"/>
    <xf numFmtId="0" fontId="6" fillId="0" borderId="0" xfId="0" applyFont="1"/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99"/>
  <sheetViews>
    <sheetView showGridLines="0" tabSelected="1" zoomScale="70" zoomScaleNormal="70" workbookViewId="0">
      <selection activeCell="G14" sqref="G14"/>
    </sheetView>
  </sheetViews>
  <sheetFormatPr defaultRowHeight="15" outlineLevelCol="1" x14ac:dyDescent="0.25"/>
  <cols>
    <col min="1" max="1" width="32" bestFit="1" customWidth="1"/>
    <col min="2" max="2" width="46.85546875" bestFit="1" customWidth="1"/>
    <col min="3" max="3" width="26.85546875" customWidth="1"/>
    <col min="4" max="4" width="32.5703125" customWidth="1"/>
    <col min="5" max="5" width="16.42578125" bestFit="1" customWidth="1"/>
    <col min="6" max="6" width="10" bestFit="1" customWidth="1"/>
    <col min="7" max="7" width="43.28515625" customWidth="1"/>
    <col min="8" max="8" width="62.85546875" customWidth="1"/>
    <col min="9" max="9" width="30" customWidth="1" outlineLevel="1"/>
    <col min="10" max="10" width="32.7109375" customWidth="1" outlineLevel="1"/>
    <col min="11" max="11" width="8.42578125" bestFit="1" customWidth="1"/>
    <col min="12" max="13" width="8.42578125" customWidth="1"/>
    <col min="14" max="16" width="20" customWidth="1"/>
  </cols>
  <sheetData>
    <row r="2" spans="1:16" x14ac:dyDescent="0.25">
      <c r="A2" s="6" t="s">
        <v>215</v>
      </c>
      <c r="F2" s="6"/>
      <c r="H2" s="6"/>
    </row>
    <row r="3" spans="1:16" x14ac:dyDescent="0.25">
      <c r="F3">
        <f>LEN(G3) - LEN(SUBSTITUTE(G3, ",", ""))+1</f>
        <v>1</v>
      </c>
    </row>
    <row r="4" spans="1:16" x14ac:dyDescent="0.25">
      <c r="A4" s="1" t="s">
        <v>216</v>
      </c>
      <c r="B4" s="1" t="s">
        <v>211</v>
      </c>
      <c r="C4" s="1" t="s">
        <v>218</v>
      </c>
      <c r="D4" s="1" t="s">
        <v>210</v>
      </c>
      <c r="E4" s="1" t="s">
        <v>214</v>
      </c>
      <c r="F4" s="1" t="s">
        <v>206</v>
      </c>
      <c r="G4" s="1" t="s">
        <v>221</v>
      </c>
      <c r="H4" s="1" t="s">
        <v>475</v>
      </c>
      <c r="I4" s="1" t="s">
        <v>212</v>
      </c>
      <c r="J4" s="1" t="s">
        <v>213</v>
      </c>
      <c r="K4" s="1" t="s">
        <v>207</v>
      </c>
      <c r="L4" s="5"/>
      <c r="M4" s="5"/>
      <c r="N4" s="2"/>
      <c r="O4" s="2"/>
      <c r="P4" s="2"/>
    </row>
    <row r="5" spans="1:16" x14ac:dyDescent="0.25">
      <c r="A5" s="3" t="s">
        <v>0</v>
      </c>
      <c r="B5" s="3" t="s">
        <v>2</v>
      </c>
      <c r="C5" s="3" t="s">
        <v>3</v>
      </c>
      <c r="D5" s="3" t="s">
        <v>233</v>
      </c>
      <c r="E5" s="3" t="s">
        <v>219</v>
      </c>
      <c r="F5" s="3">
        <v>1</v>
      </c>
      <c r="G5" s="4" t="s">
        <v>1</v>
      </c>
      <c r="H5" s="3" t="s">
        <v>235</v>
      </c>
      <c r="I5" s="3" t="s">
        <v>4</v>
      </c>
      <c r="J5" s="3" t="s">
        <v>5</v>
      </c>
      <c r="K5" s="3" t="s">
        <v>208</v>
      </c>
      <c r="L5" s="2"/>
      <c r="M5" s="2"/>
      <c r="N5" s="2"/>
      <c r="O5" s="2"/>
      <c r="P5" s="2"/>
    </row>
    <row r="6" spans="1:16" x14ac:dyDescent="0.25">
      <c r="A6" s="12" t="s">
        <v>239</v>
      </c>
      <c r="B6" s="12" t="s">
        <v>7</v>
      </c>
      <c r="C6" s="14" t="s">
        <v>237</v>
      </c>
      <c r="D6" s="12" t="s">
        <v>240</v>
      </c>
      <c r="E6" s="3" t="s">
        <v>219</v>
      </c>
      <c r="F6" s="3">
        <v>6</v>
      </c>
      <c r="G6" s="4" t="s">
        <v>6</v>
      </c>
      <c r="H6" s="11" t="s">
        <v>234</v>
      </c>
      <c r="I6" s="11" t="s">
        <v>238</v>
      </c>
      <c r="J6" s="11" t="s">
        <v>5</v>
      </c>
      <c r="K6" s="11" t="s">
        <v>208</v>
      </c>
      <c r="L6" s="2"/>
      <c r="M6" s="2"/>
      <c r="N6" s="2"/>
      <c r="O6" s="2"/>
      <c r="P6" s="2"/>
    </row>
    <row r="7" spans="1:16" x14ac:dyDescent="0.25">
      <c r="A7" s="13"/>
      <c r="B7" s="13"/>
      <c r="C7" s="15"/>
      <c r="D7" s="13"/>
      <c r="E7" s="3" t="s">
        <v>222</v>
      </c>
      <c r="F7" s="3">
        <v>2</v>
      </c>
      <c r="G7" s="4" t="s">
        <v>13</v>
      </c>
      <c r="H7" s="11" t="s">
        <v>234</v>
      </c>
      <c r="I7" s="11" t="s">
        <v>238</v>
      </c>
      <c r="J7" s="11" t="s">
        <v>5</v>
      </c>
      <c r="K7" s="11" t="s">
        <v>208</v>
      </c>
      <c r="L7" s="2"/>
      <c r="M7" s="2"/>
      <c r="N7" s="2"/>
      <c r="O7" s="2"/>
      <c r="P7" s="2"/>
    </row>
    <row r="8" spans="1:16" x14ac:dyDescent="0.25">
      <c r="A8" s="3" t="s">
        <v>230</v>
      </c>
      <c r="B8" s="3" t="s">
        <v>9</v>
      </c>
      <c r="C8" s="3" t="s">
        <v>231</v>
      </c>
      <c r="D8" s="3" t="s">
        <v>241</v>
      </c>
      <c r="E8" s="3" t="s">
        <v>219</v>
      </c>
      <c r="F8" s="3">
        <v>2</v>
      </c>
      <c r="G8" s="4" t="s">
        <v>8</v>
      </c>
      <c r="H8" s="3" t="s">
        <v>261</v>
      </c>
      <c r="I8" s="3" t="s">
        <v>232</v>
      </c>
      <c r="J8" s="3" t="s">
        <v>5</v>
      </c>
      <c r="K8" s="3" t="s">
        <v>208</v>
      </c>
      <c r="L8" s="2"/>
      <c r="M8" s="2"/>
      <c r="N8" s="2"/>
      <c r="O8" s="2"/>
      <c r="P8" s="2"/>
    </row>
    <row r="9" spans="1:16" x14ac:dyDescent="0.25">
      <c r="A9" s="3" t="s">
        <v>262</v>
      </c>
      <c r="B9" s="3" t="s">
        <v>10</v>
      </c>
      <c r="C9" s="3" t="s">
        <v>264</v>
      </c>
      <c r="D9" s="3" t="s">
        <v>240</v>
      </c>
      <c r="E9" s="3" t="s">
        <v>219</v>
      </c>
      <c r="F9" s="3">
        <v>3</v>
      </c>
      <c r="G9" s="4" t="s">
        <v>266</v>
      </c>
      <c r="H9" s="3" t="s">
        <v>263</v>
      </c>
      <c r="I9" s="3" t="s">
        <v>265</v>
      </c>
      <c r="J9" s="3" t="s">
        <v>5</v>
      </c>
      <c r="K9" s="3" t="s">
        <v>208</v>
      </c>
      <c r="L9" s="2"/>
      <c r="M9" s="2"/>
      <c r="N9" s="2"/>
      <c r="O9" s="2"/>
      <c r="P9" s="2"/>
    </row>
    <row r="10" spans="1:16" x14ac:dyDescent="0.25">
      <c r="A10" s="3" t="s">
        <v>268</v>
      </c>
      <c r="B10" s="3" t="s">
        <v>10</v>
      </c>
      <c r="C10" s="3" t="s">
        <v>236</v>
      </c>
      <c r="D10" s="3" t="s">
        <v>240</v>
      </c>
      <c r="E10" s="3" t="s">
        <v>219</v>
      </c>
      <c r="F10" s="3">
        <v>2</v>
      </c>
      <c r="G10" s="4" t="s">
        <v>11</v>
      </c>
      <c r="H10" s="3" t="s">
        <v>267</v>
      </c>
      <c r="I10" s="3" t="s">
        <v>269</v>
      </c>
      <c r="J10" s="3" t="s">
        <v>5</v>
      </c>
      <c r="K10" s="3" t="s">
        <v>208</v>
      </c>
      <c r="L10" s="2"/>
      <c r="M10" s="2"/>
      <c r="N10" s="2"/>
      <c r="O10" s="2"/>
      <c r="P10" s="2"/>
    </row>
    <row r="11" spans="1:16" ht="18.75" customHeight="1" x14ac:dyDescent="0.25">
      <c r="A11" s="3" t="s">
        <v>272</v>
      </c>
      <c r="B11" s="3" t="s">
        <v>10</v>
      </c>
      <c r="C11" s="3" t="s">
        <v>236</v>
      </c>
      <c r="D11" s="3" t="s">
        <v>240</v>
      </c>
      <c r="E11" s="3" t="s">
        <v>219</v>
      </c>
      <c r="F11" s="3">
        <v>9</v>
      </c>
      <c r="G11" s="4" t="s">
        <v>270</v>
      </c>
      <c r="H11" s="3" t="s">
        <v>271</v>
      </c>
      <c r="I11" s="3" t="s">
        <v>273</v>
      </c>
      <c r="J11" s="3" t="s">
        <v>5</v>
      </c>
      <c r="K11" s="3" t="s">
        <v>208</v>
      </c>
      <c r="L11" s="2"/>
      <c r="M11" s="2"/>
      <c r="N11" s="2"/>
      <c r="O11" s="2"/>
      <c r="P11" s="2"/>
    </row>
    <row r="12" spans="1:16" ht="43.5" x14ac:dyDescent="0.25">
      <c r="A12" s="12" t="s">
        <v>274</v>
      </c>
      <c r="B12" s="12" t="s">
        <v>10</v>
      </c>
      <c r="C12" s="12" t="s">
        <v>236</v>
      </c>
      <c r="D12" s="12" t="s">
        <v>240</v>
      </c>
      <c r="E12" s="3" t="s">
        <v>219</v>
      </c>
      <c r="F12" s="3">
        <v>27</v>
      </c>
      <c r="G12" s="4" t="s">
        <v>486</v>
      </c>
      <c r="H12" s="11" t="s">
        <v>276</v>
      </c>
      <c r="I12" s="11" t="s">
        <v>275</v>
      </c>
      <c r="J12" s="11" t="s">
        <v>5</v>
      </c>
      <c r="K12" s="11" t="s">
        <v>208</v>
      </c>
      <c r="L12" s="2"/>
      <c r="M12" s="2"/>
      <c r="N12" s="2"/>
      <c r="O12" s="2"/>
      <c r="P12" s="2"/>
    </row>
    <row r="13" spans="1:16" x14ac:dyDescent="0.25">
      <c r="A13" s="13"/>
      <c r="B13" s="13"/>
      <c r="C13" s="13"/>
      <c r="D13" s="13"/>
      <c r="E13" s="3" t="s">
        <v>222</v>
      </c>
      <c r="F13" s="3">
        <v>5</v>
      </c>
      <c r="G13" s="4" t="s">
        <v>223</v>
      </c>
      <c r="H13" s="11" t="s">
        <v>276</v>
      </c>
      <c r="I13" s="11" t="s">
        <v>275</v>
      </c>
      <c r="J13" s="11" t="s">
        <v>5</v>
      </c>
      <c r="K13" s="11" t="s">
        <v>208</v>
      </c>
      <c r="L13" s="2"/>
      <c r="M13" s="2"/>
      <c r="N13" s="2"/>
      <c r="O13" s="2"/>
      <c r="P13" s="2"/>
    </row>
    <row r="14" spans="1:16" x14ac:dyDescent="0.25">
      <c r="A14" s="3" t="s">
        <v>277</v>
      </c>
      <c r="B14" s="3" t="s">
        <v>7</v>
      </c>
      <c r="C14" s="3" t="s">
        <v>264</v>
      </c>
      <c r="D14" s="3" t="s">
        <v>240</v>
      </c>
      <c r="E14" s="3" t="s">
        <v>222</v>
      </c>
      <c r="F14" s="3">
        <v>2</v>
      </c>
      <c r="G14" s="4" t="s">
        <v>12</v>
      </c>
      <c r="H14" s="3" t="s">
        <v>279</v>
      </c>
      <c r="I14" s="3" t="s">
        <v>278</v>
      </c>
      <c r="J14" s="3" t="s">
        <v>5</v>
      </c>
      <c r="K14" s="3" t="s">
        <v>208</v>
      </c>
      <c r="L14" s="2"/>
      <c r="M14" s="2"/>
      <c r="N14" s="2"/>
      <c r="O14" s="2"/>
      <c r="P14" s="2"/>
    </row>
    <row r="15" spans="1:16" x14ac:dyDescent="0.25">
      <c r="A15" s="3" t="s">
        <v>280</v>
      </c>
      <c r="B15" s="3" t="s">
        <v>10</v>
      </c>
      <c r="C15" s="3" t="s">
        <v>236</v>
      </c>
      <c r="D15" s="3" t="s">
        <v>240</v>
      </c>
      <c r="E15" s="3" t="s">
        <v>222</v>
      </c>
      <c r="F15" s="3">
        <v>1</v>
      </c>
      <c r="G15" s="4" t="s">
        <v>14</v>
      </c>
      <c r="H15" s="3" t="s">
        <v>281</v>
      </c>
      <c r="I15" s="3" t="s">
        <v>282</v>
      </c>
      <c r="J15" s="3" t="s">
        <v>5</v>
      </c>
      <c r="K15" s="3" t="s">
        <v>208</v>
      </c>
      <c r="L15" s="2"/>
      <c r="M15" s="2"/>
      <c r="N15" s="2"/>
      <c r="O15" s="2"/>
      <c r="P15" s="2"/>
    </row>
    <row r="16" spans="1:16" x14ac:dyDescent="0.25">
      <c r="A16" s="3" t="s">
        <v>283</v>
      </c>
      <c r="B16" s="3" t="s">
        <v>10</v>
      </c>
      <c r="C16" s="3" t="s">
        <v>264</v>
      </c>
      <c r="D16" s="3" t="s">
        <v>240</v>
      </c>
      <c r="E16" s="3" t="s">
        <v>222</v>
      </c>
      <c r="F16" s="3">
        <v>1</v>
      </c>
      <c r="G16" s="4" t="s">
        <v>15</v>
      </c>
      <c r="H16" s="3" t="s">
        <v>285</v>
      </c>
      <c r="I16" s="3" t="s">
        <v>284</v>
      </c>
      <c r="J16" s="3" t="s">
        <v>5</v>
      </c>
      <c r="K16" s="3" t="s">
        <v>208</v>
      </c>
      <c r="L16" s="2"/>
      <c r="M16" s="2"/>
      <c r="N16" s="2"/>
      <c r="O16" s="2"/>
      <c r="P16" s="2"/>
    </row>
    <row r="17" spans="1:16" x14ac:dyDescent="0.25">
      <c r="A17" s="3" t="s">
        <v>286</v>
      </c>
      <c r="B17" s="3" t="s">
        <v>10</v>
      </c>
      <c r="C17" s="3" t="s">
        <v>264</v>
      </c>
      <c r="D17" s="3" t="s">
        <v>240</v>
      </c>
      <c r="E17" s="3" t="s">
        <v>222</v>
      </c>
      <c r="F17" s="3">
        <v>1</v>
      </c>
      <c r="G17" s="4" t="s">
        <v>16</v>
      </c>
      <c r="H17" s="3" t="s">
        <v>287</v>
      </c>
      <c r="I17" s="3" t="s">
        <v>288</v>
      </c>
      <c r="J17" s="3" t="s">
        <v>5</v>
      </c>
      <c r="K17" s="3" t="s">
        <v>208</v>
      </c>
      <c r="L17" s="2"/>
      <c r="M17" s="2"/>
      <c r="N17" s="2"/>
      <c r="O17" s="2"/>
      <c r="P17" s="2"/>
    </row>
    <row r="18" spans="1:16" x14ac:dyDescent="0.25">
      <c r="A18" s="3" t="s">
        <v>289</v>
      </c>
      <c r="B18" s="3" t="s">
        <v>10</v>
      </c>
      <c r="C18" s="3" t="s">
        <v>236</v>
      </c>
      <c r="D18" s="3" t="s">
        <v>240</v>
      </c>
      <c r="E18" s="3" t="s">
        <v>219</v>
      </c>
      <c r="F18" s="3">
        <v>1</v>
      </c>
      <c r="G18" s="4" t="s">
        <v>17</v>
      </c>
      <c r="H18" s="3" t="s">
        <v>290</v>
      </c>
      <c r="I18" s="3" t="s">
        <v>291</v>
      </c>
      <c r="J18" s="3" t="s">
        <v>5</v>
      </c>
      <c r="K18" s="3" t="s">
        <v>208</v>
      </c>
      <c r="L18" s="2"/>
      <c r="M18" s="2"/>
      <c r="N18" s="2"/>
      <c r="O18" s="2"/>
      <c r="P18" s="2"/>
    </row>
    <row r="19" spans="1:16" x14ac:dyDescent="0.25">
      <c r="A19" s="3" t="s">
        <v>292</v>
      </c>
      <c r="B19" s="3" t="s">
        <v>10</v>
      </c>
      <c r="C19" s="3" t="s">
        <v>264</v>
      </c>
      <c r="D19" s="3" t="s">
        <v>240</v>
      </c>
      <c r="E19" s="3" t="s">
        <v>219</v>
      </c>
      <c r="F19" s="3">
        <v>5</v>
      </c>
      <c r="G19" s="4" t="s">
        <v>298</v>
      </c>
      <c r="H19" s="3" t="s">
        <v>293</v>
      </c>
      <c r="I19" s="3" t="s">
        <v>294</v>
      </c>
      <c r="J19" s="3" t="s">
        <v>5</v>
      </c>
      <c r="K19" s="3" t="s">
        <v>208</v>
      </c>
      <c r="L19" s="2"/>
      <c r="M19" s="2"/>
      <c r="N19" s="2"/>
      <c r="O19" s="2"/>
      <c r="P19" s="2"/>
    </row>
    <row r="20" spans="1:16" x14ac:dyDescent="0.25">
      <c r="A20" s="3" t="s">
        <v>296</v>
      </c>
      <c r="B20" s="3" t="s">
        <v>10</v>
      </c>
      <c r="C20" s="3" t="s">
        <v>264</v>
      </c>
      <c r="D20" s="3" t="s">
        <v>240</v>
      </c>
      <c r="E20" s="3" t="s">
        <v>219</v>
      </c>
      <c r="F20" s="3">
        <v>2</v>
      </c>
      <c r="G20" s="4" t="s">
        <v>18</v>
      </c>
      <c r="H20" s="3" t="s">
        <v>295</v>
      </c>
      <c r="I20" s="3" t="s">
        <v>297</v>
      </c>
      <c r="J20" s="3" t="s">
        <v>5</v>
      </c>
      <c r="K20" s="3" t="s">
        <v>208</v>
      </c>
      <c r="L20" s="2"/>
      <c r="M20" s="2"/>
      <c r="N20" s="2"/>
      <c r="O20" s="2"/>
      <c r="P20" s="2"/>
    </row>
    <row r="21" spans="1:16" x14ac:dyDescent="0.25">
      <c r="A21" s="3" t="s">
        <v>299</v>
      </c>
      <c r="B21" s="3" t="s">
        <v>10</v>
      </c>
      <c r="C21" s="3" t="s">
        <v>264</v>
      </c>
      <c r="D21" s="3" t="s">
        <v>240</v>
      </c>
      <c r="E21" s="3" t="s">
        <v>222</v>
      </c>
      <c r="F21" s="3">
        <v>2</v>
      </c>
      <c r="G21" s="4" t="s">
        <v>19</v>
      </c>
      <c r="H21" s="3" t="s">
        <v>300</v>
      </c>
      <c r="I21" s="3" t="s">
        <v>301</v>
      </c>
      <c r="J21" s="3" t="s">
        <v>5</v>
      </c>
      <c r="K21" s="3" t="s">
        <v>208</v>
      </c>
      <c r="L21" s="2"/>
      <c r="M21" s="2"/>
      <c r="N21" s="2"/>
      <c r="O21" s="2"/>
      <c r="P21" s="2"/>
    </row>
    <row r="22" spans="1:16" x14ac:dyDescent="0.25">
      <c r="A22" s="3" t="s">
        <v>22</v>
      </c>
      <c r="B22" s="3" t="s">
        <v>21</v>
      </c>
      <c r="C22" s="3" t="s">
        <v>302</v>
      </c>
      <c r="D22" s="3" t="s">
        <v>240</v>
      </c>
      <c r="E22" s="3" t="s">
        <v>219</v>
      </c>
      <c r="F22" s="3">
        <v>1</v>
      </c>
      <c r="G22" s="4" t="s">
        <v>20</v>
      </c>
      <c r="H22" s="3" t="s">
        <v>303</v>
      </c>
      <c r="I22" s="3" t="s">
        <v>23</v>
      </c>
      <c r="J22" s="3" t="s">
        <v>5</v>
      </c>
      <c r="K22" s="3" t="s">
        <v>208</v>
      </c>
      <c r="L22" s="2"/>
      <c r="M22" s="2"/>
      <c r="N22" s="2"/>
      <c r="O22" s="2"/>
      <c r="P22" s="2"/>
    </row>
    <row r="23" spans="1:16" x14ac:dyDescent="0.25">
      <c r="A23" s="3" t="s">
        <v>305</v>
      </c>
      <c r="B23" s="3" t="s">
        <v>10</v>
      </c>
      <c r="C23" s="3" t="s">
        <v>264</v>
      </c>
      <c r="D23" s="3" t="s">
        <v>240</v>
      </c>
      <c r="E23" s="3" t="s">
        <v>219</v>
      </c>
      <c r="F23" s="3">
        <v>1</v>
      </c>
      <c r="G23" s="4" t="s">
        <v>24</v>
      </c>
      <c r="H23" s="3" t="s">
        <v>304</v>
      </c>
      <c r="I23" s="3" t="s">
        <v>306</v>
      </c>
      <c r="J23" s="3" t="s">
        <v>5</v>
      </c>
      <c r="K23" s="3" t="s">
        <v>208</v>
      </c>
      <c r="L23" s="2"/>
      <c r="M23" s="2"/>
      <c r="N23" s="2"/>
      <c r="O23" s="2"/>
      <c r="P23" s="2"/>
    </row>
    <row r="24" spans="1:16" x14ac:dyDescent="0.25">
      <c r="A24" s="3" t="s">
        <v>26</v>
      </c>
      <c r="B24" s="3" t="s">
        <v>21</v>
      </c>
      <c r="C24" s="3" t="s">
        <v>302</v>
      </c>
      <c r="D24" s="3" t="s">
        <v>240</v>
      </c>
      <c r="E24" s="3" t="s">
        <v>219</v>
      </c>
      <c r="F24" s="3">
        <v>2</v>
      </c>
      <c r="G24" s="4" t="s">
        <v>25</v>
      </c>
      <c r="H24" s="3" t="s">
        <v>307</v>
      </c>
      <c r="I24" s="3" t="s">
        <v>27</v>
      </c>
      <c r="J24" s="3" t="s">
        <v>5</v>
      </c>
      <c r="K24" s="3" t="s">
        <v>208</v>
      </c>
      <c r="L24" s="2"/>
      <c r="M24" s="2"/>
      <c r="N24" s="2"/>
      <c r="O24" s="2"/>
      <c r="P24" s="2"/>
    </row>
    <row r="25" spans="1:16" x14ac:dyDescent="0.25">
      <c r="A25" s="3" t="s">
        <v>309</v>
      </c>
      <c r="B25" s="3" t="s">
        <v>10</v>
      </c>
      <c r="C25" s="3" t="s">
        <v>264</v>
      </c>
      <c r="D25" s="3" t="s">
        <v>240</v>
      </c>
      <c r="E25" s="3" t="s">
        <v>219</v>
      </c>
      <c r="F25" s="3">
        <v>1</v>
      </c>
      <c r="G25" s="4" t="s">
        <v>28</v>
      </c>
      <c r="H25" s="3" t="s">
        <v>308</v>
      </c>
      <c r="I25" s="3" t="s">
        <v>310</v>
      </c>
      <c r="J25" s="3" t="s">
        <v>5</v>
      </c>
      <c r="K25" s="3" t="s">
        <v>208</v>
      </c>
      <c r="L25" s="2"/>
      <c r="M25" s="2"/>
      <c r="N25" s="2"/>
      <c r="O25" s="2"/>
      <c r="P25" s="2"/>
    </row>
    <row r="26" spans="1:16" x14ac:dyDescent="0.25">
      <c r="A26" s="3" t="s">
        <v>32</v>
      </c>
      <c r="B26" s="3" t="s">
        <v>34</v>
      </c>
      <c r="C26" s="3" t="s">
        <v>312</v>
      </c>
      <c r="D26" s="3" t="s">
        <v>242</v>
      </c>
      <c r="E26" s="3" t="s">
        <v>219</v>
      </c>
      <c r="F26" s="3">
        <v>1</v>
      </c>
      <c r="G26" s="4" t="s">
        <v>33</v>
      </c>
      <c r="H26" s="3" t="s">
        <v>311</v>
      </c>
      <c r="I26" s="3" t="s">
        <v>35</v>
      </c>
      <c r="J26" s="3" t="s">
        <v>5</v>
      </c>
      <c r="K26" s="3" t="s">
        <v>208</v>
      </c>
      <c r="L26" s="2"/>
      <c r="M26" s="2"/>
      <c r="N26" s="2"/>
      <c r="O26" s="2"/>
      <c r="P26" s="2"/>
    </row>
    <row r="27" spans="1:16" x14ac:dyDescent="0.25">
      <c r="A27" s="3" t="s">
        <v>40</v>
      </c>
      <c r="B27" s="3" t="s">
        <v>42</v>
      </c>
      <c r="C27" s="3" t="s">
        <v>317</v>
      </c>
      <c r="D27" s="3" t="s">
        <v>242</v>
      </c>
      <c r="E27" s="3" t="s">
        <v>219</v>
      </c>
      <c r="F27" s="3">
        <v>1</v>
      </c>
      <c r="G27" s="4" t="s">
        <v>41</v>
      </c>
      <c r="H27" s="3" t="s">
        <v>316</v>
      </c>
      <c r="I27" s="3" t="s">
        <v>43</v>
      </c>
      <c r="J27" s="3" t="s">
        <v>5</v>
      </c>
      <c r="K27" s="3" t="s">
        <v>208</v>
      </c>
      <c r="L27" s="2"/>
      <c r="M27" s="2"/>
      <c r="N27" s="2"/>
      <c r="O27" s="2"/>
      <c r="P27" s="2"/>
    </row>
    <row r="28" spans="1:16" x14ac:dyDescent="0.25">
      <c r="A28" s="3" t="s">
        <v>46</v>
      </c>
      <c r="B28" s="3" t="s">
        <v>48</v>
      </c>
      <c r="C28" s="3" t="s">
        <v>318</v>
      </c>
      <c r="D28" s="3" t="s">
        <v>243</v>
      </c>
      <c r="E28" s="3" t="s">
        <v>219</v>
      </c>
      <c r="F28" s="3">
        <v>5</v>
      </c>
      <c r="G28" s="4" t="s">
        <v>47</v>
      </c>
      <c r="H28" s="3" t="s">
        <v>320</v>
      </c>
      <c r="I28" s="3" t="s">
        <v>49</v>
      </c>
      <c r="J28" s="3" t="s">
        <v>5</v>
      </c>
      <c r="K28" s="3" t="s">
        <v>208</v>
      </c>
      <c r="L28" s="2"/>
      <c r="M28" s="2"/>
      <c r="N28" s="2"/>
      <c r="O28" s="2"/>
      <c r="P28" s="2"/>
    </row>
    <row r="29" spans="1:16" x14ac:dyDescent="0.25">
      <c r="A29" s="3" t="s">
        <v>50</v>
      </c>
      <c r="B29" s="3" t="s">
        <v>52</v>
      </c>
      <c r="C29" s="3" t="s">
        <v>319</v>
      </c>
      <c r="D29" s="3" t="s">
        <v>243</v>
      </c>
      <c r="E29" s="3" t="s">
        <v>222</v>
      </c>
      <c r="F29" s="3">
        <v>1</v>
      </c>
      <c r="G29" s="4" t="s">
        <v>51</v>
      </c>
      <c r="H29" s="3" t="s">
        <v>321</v>
      </c>
      <c r="I29" s="3" t="s">
        <v>53</v>
      </c>
      <c r="J29" s="3" t="s">
        <v>5</v>
      </c>
      <c r="K29" s="3" t="s">
        <v>208</v>
      </c>
      <c r="L29" s="2"/>
      <c r="M29" s="2"/>
      <c r="N29" s="2"/>
      <c r="O29" s="2"/>
      <c r="P29" s="2"/>
    </row>
    <row r="30" spans="1:16" x14ac:dyDescent="0.25">
      <c r="A30" s="3" t="s">
        <v>322</v>
      </c>
      <c r="B30" s="3" t="s">
        <v>55</v>
      </c>
      <c r="C30" s="3" t="s">
        <v>323</v>
      </c>
      <c r="D30" s="3" t="s">
        <v>244</v>
      </c>
      <c r="E30" s="3" t="s">
        <v>222</v>
      </c>
      <c r="F30" s="3">
        <v>1</v>
      </c>
      <c r="G30" s="4" t="s">
        <v>54</v>
      </c>
      <c r="H30" s="3" t="s">
        <v>326</v>
      </c>
      <c r="I30" s="3" t="s">
        <v>56</v>
      </c>
      <c r="J30" s="3" t="s">
        <v>5</v>
      </c>
      <c r="K30" s="3" t="s">
        <v>208</v>
      </c>
      <c r="L30" s="2"/>
      <c r="M30" s="2"/>
      <c r="N30" s="2"/>
      <c r="O30" s="2"/>
      <c r="P30" s="2"/>
    </row>
    <row r="31" spans="1:16" x14ac:dyDescent="0.25">
      <c r="A31" s="3" t="s">
        <v>325</v>
      </c>
      <c r="B31" s="3" t="s">
        <v>61</v>
      </c>
      <c r="C31" s="3" t="s">
        <v>324</v>
      </c>
      <c r="D31" s="3" t="s">
        <v>246</v>
      </c>
      <c r="E31" s="3" t="s">
        <v>222</v>
      </c>
      <c r="F31" s="3">
        <v>4</v>
      </c>
      <c r="G31" s="4" t="s">
        <v>60</v>
      </c>
      <c r="H31" s="3" t="s">
        <v>329</v>
      </c>
      <c r="I31" s="3" t="s">
        <v>62</v>
      </c>
      <c r="J31" s="3" t="s">
        <v>5</v>
      </c>
      <c r="K31" s="3" t="s">
        <v>208</v>
      </c>
      <c r="L31" s="2"/>
      <c r="M31" s="2"/>
      <c r="N31" s="2"/>
      <c r="O31" s="2"/>
      <c r="P31" s="2"/>
    </row>
    <row r="32" spans="1:16" x14ac:dyDescent="0.25">
      <c r="A32" s="12" t="s">
        <v>57</v>
      </c>
      <c r="B32" s="12" t="s">
        <v>58</v>
      </c>
      <c r="C32" s="12" t="s">
        <v>327</v>
      </c>
      <c r="D32" s="12" t="s">
        <v>245</v>
      </c>
      <c r="E32" s="3" t="s">
        <v>219</v>
      </c>
      <c r="F32" s="3">
        <v>1</v>
      </c>
      <c r="G32" s="4" t="s">
        <v>224</v>
      </c>
      <c r="H32" s="11" t="s">
        <v>328</v>
      </c>
      <c r="I32" s="11" t="s">
        <v>59</v>
      </c>
      <c r="J32" s="11" t="s">
        <v>5</v>
      </c>
      <c r="K32" s="11" t="s">
        <v>208</v>
      </c>
      <c r="L32" s="2"/>
      <c r="M32" s="2"/>
      <c r="N32" s="2"/>
      <c r="O32" s="2"/>
      <c r="P32" s="2"/>
    </row>
    <row r="33" spans="1:16" x14ac:dyDescent="0.25">
      <c r="A33" s="13"/>
      <c r="B33" s="13"/>
      <c r="C33" s="13"/>
      <c r="D33" s="13"/>
      <c r="E33" s="3" t="s">
        <v>222</v>
      </c>
      <c r="F33" s="3">
        <v>2</v>
      </c>
      <c r="G33" s="4" t="s">
        <v>225</v>
      </c>
      <c r="H33" s="11" t="s">
        <v>328</v>
      </c>
      <c r="I33" s="11" t="s">
        <v>59</v>
      </c>
      <c r="J33" s="11" t="s">
        <v>5</v>
      </c>
      <c r="K33" s="11" t="s">
        <v>208</v>
      </c>
      <c r="L33" s="2"/>
      <c r="M33" s="2"/>
      <c r="N33" s="2"/>
      <c r="O33" s="2"/>
      <c r="P33" s="2"/>
    </row>
    <row r="34" spans="1:16" x14ac:dyDescent="0.25">
      <c r="A34" s="3" t="s">
        <v>63</v>
      </c>
      <c r="B34" s="3" t="s">
        <v>65</v>
      </c>
      <c r="C34" s="3" t="s">
        <v>332</v>
      </c>
      <c r="D34" s="3" t="s">
        <v>246</v>
      </c>
      <c r="E34" s="3" t="s">
        <v>219</v>
      </c>
      <c r="F34" s="3">
        <v>5</v>
      </c>
      <c r="G34" s="4" t="s">
        <v>64</v>
      </c>
      <c r="H34" s="3" t="s">
        <v>330</v>
      </c>
      <c r="I34" s="3" t="s">
        <v>331</v>
      </c>
      <c r="J34" s="3" t="s">
        <v>5</v>
      </c>
      <c r="K34" s="3" t="s">
        <v>208</v>
      </c>
      <c r="L34" s="2"/>
      <c r="M34" s="2"/>
      <c r="N34" s="2"/>
      <c r="O34" s="2"/>
      <c r="P34" s="2"/>
    </row>
    <row r="35" spans="1:16" x14ac:dyDescent="0.25">
      <c r="A35" s="3" t="s">
        <v>66</v>
      </c>
      <c r="B35" s="3" t="s">
        <v>68</v>
      </c>
      <c r="C35" s="3" t="s">
        <v>334</v>
      </c>
      <c r="D35" s="3" t="s">
        <v>246</v>
      </c>
      <c r="E35" s="3" t="s">
        <v>219</v>
      </c>
      <c r="F35" s="3">
        <v>1</v>
      </c>
      <c r="G35" s="4" t="s">
        <v>67</v>
      </c>
      <c r="H35" s="3" t="s">
        <v>333</v>
      </c>
      <c r="I35" s="3" t="s">
        <v>335</v>
      </c>
      <c r="J35" s="3" t="s">
        <v>5</v>
      </c>
      <c r="K35" s="3" t="s">
        <v>208</v>
      </c>
      <c r="L35" s="2"/>
      <c r="M35" s="2"/>
      <c r="N35" s="2"/>
      <c r="O35" s="2"/>
      <c r="P35" s="2"/>
    </row>
    <row r="36" spans="1:16" x14ac:dyDescent="0.25">
      <c r="A36" s="3" t="s">
        <v>69</v>
      </c>
      <c r="B36" s="3" t="s">
        <v>71</v>
      </c>
      <c r="C36" s="3" t="s">
        <v>336</v>
      </c>
      <c r="D36" s="3" t="s">
        <v>246</v>
      </c>
      <c r="E36" s="3" t="s">
        <v>219</v>
      </c>
      <c r="F36" s="3">
        <v>2</v>
      </c>
      <c r="G36" s="4" t="s">
        <v>70</v>
      </c>
      <c r="H36" s="3" t="s">
        <v>337</v>
      </c>
      <c r="I36" s="3" t="s">
        <v>72</v>
      </c>
      <c r="J36" s="3" t="s">
        <v>5</v>
      </c>
      <c r="K36" s="3" t="s">
        <v>208</v>
      </c>
      <c r="L36" s="2"/>
      <c r="M36" s="2"/>
      <c r="N36" s="2"/>
      <c r="O36" s="2"/>
      <c r="P36" s="2"/>
    </row>
    <row r="37" spans="1:16" x14ac:dyDescent="0.25">
      <c r="A37" s="3" t="s">
        <v>73</v>
      </c>
      <c r="B37" s="3" t="s">
        <v>75</v>
      </c>
      <c r="C37" s="3" t="s">
        <v>339</v>
      </c>
      <c r="D37" s="3" t="s">
        <v>246</v>
      </c>
      <c r="E37" s="3" t="s">
        <v>219</v>
      </c>
      <c r="F37" s="3">
        <v>1</v>
      </c>
      <c r="G37" s="4" t="s">
        <v>74</v>
      </c>
      <c r="H37" s="3" t="s">
        <v>338</v>
      </c>
      <c r="I37" s="3" t="s">
        <v>76</v>
      </c>
      <c r="J37" s="3" t="s">
        <v>5</v>
      </c>
      <c r="K37" s="3" t="s">
        <v>208</v>
      </c>
      <c r="L37" s="2"/>
      <c r="M37" s="2"/>
      <c r="N37" s="2"/>
      <c r="O37" s="2"/>
      <c r="P37" s="2"/>
    </row>
    <row r="38" spans="1:16" x14ac:dyDescent="0.25">
      <c r="A38" s="3" t="s">
        <v>341</v>
      </c>
      <c r="B38" s="3" t="s">
        <v>78</v>
      </c>
      <c r="C38" s="3" t="s">
        <v>340</v>
      </c>
      <c r="D38" s="3" t="s">
        <v>247</v>
      </c>
      <c r="E38" s="3" t="s">
        <v>219</v>
      </c>
      <c r="F38" s="3">
        <v>1</v>
      </c>
      <c r="G38" s="4" t="s">
        <v>77</v>
      </c>
      <c r="H38" s="3" t="s">
        <v>342</v>
      </c>
      <c r="I38" s="3" t="s">
        <v>79</v>
      </c>
      <c r="J38" s="3" t="s">
        <v>5</v>
      </c>
      <c r="K38" s="3" t="s">
        <v>208</v>
      </c>
      <c r="L38" s="2"/>
      <c r="M38" s="2"/>
      <c r="N38" s="2"/>
      <c r="O38" s="2"/>
      <c r="P38" s="2"/>
    </row>
    <row r="39" spans="1:16" x14ac:dyDescent="0.25">
      <c r="A39" s="3" t="s">
        <v>80</v>
      </c>
      <c r="B39" s="3" t="s">
        <v>78</v>
      </c>
      <c r="C39" s="3" t="s">
        <v>344</v>
      </c>
      <c r="D39" s="3" t="s">
        <v>247</v>
      </c>
      <c r="E39" s="3" t="s">
        <v>222</v>
      </c>
      <c r="F39" s="3">
        <v>4</v>
      </c>
      <c r="G39" s="4" t="s">
        <v>81</v>
      </c>
      <c r="H39" s="3" t="s">
        <v>343</v>
      </c>
      <c r="I39" s="3" t="s">
        <v>82</v>
      </c>
      <c r="J39" s="3" t="s">
        <v>5</v>
      </c>
      <c r="K39" s="3" t="s">
        <v>208</v>
      </c>
      <c r="L39" s="2"/>
      <c r="M39" s="2"/>
      <c r="N39" s="2"/>
      <c r="O39" s="2"/>
      <c r="P39" s="2"/>
    </row>
    <row r="40" spans="1:16" x14ac:dyDescent="0.25">
      <c r="A40" s="3" t="s">
        <v>83</v>
      </c>
      <c r="B40" s="3" t="s">
        <v>85</v>
      </c>
      <c r="C40" s="3" t="s">
        <v>346</v>
      </c>
      <c r="D40" s="3" t="s">
        <v>247</v>
      </c>
      <c r="E40" s="3" t="s">
        <v>219</v>
      </c>
      <c r="F40" s="3">
        <v>1</v>
      </c>
      <c r="G40" s="4" t="s">
        <v>84</v>
      </c>
      <c r="H40" s="3" t="s">
        <v>345</v>
      </c>
      <c r="I40" s="3" t="s">
        <v>86</v>
      </c>
      <c r="J40" s="3" t="s">
        <v>5</v>
      </c>
      <c r="K40" s="3" t="s">
        <v>208</v>
      </c>
      <c r="L40" s="2"/>
      <c r="M40" s="2"/>
      <c r="N40" s="2"/>
      <c r="O40" s="2"/>
      <c r="P40" s="2"/>
    </row>
    <row r="41" spans="1:16" x14ac:dyDescent="0.25">
      <c r="A41" s="3" t="s">
        <v>87</v>
      </c>
      <c r="B41" s="3" t="s">
        <v>89</v>
      </c>
      <c r="C41" s="3" t="s">
        <v>348</v>
      </c>
      <c r="D41" s="3" t="s">
        <v>248</v>
      </c>
      <c r="E41" s="3" t="s">
        <v>219</v>
      </c>
      <c r="F41" s="3">
        <v>5</v>
      </c>
      <c r="G41" s="4" t="s">
        <v>88</v>
      </c>
      <c r="H41" s="3" t="s">
        <v>347</v>
      </c>
      <c r="I41" s="3" t="s">
        <v>90</v>
      </c>
      <c r="J41" s="3" t="s">
        <v>5</v>
      </c>
      <c r="K41" s="3" t="s">
        <v>208</v>
      </c>
      <c r="L41" s="2"/>
      <c r="M41" s="2"/>
      <c r="N41" s="2"/>
      <c r="O41" s="2"/>
      <c r="P41" s="2"/>
    </row>
    <row r="42" spans="1:16" x14ac:dyDescent="0.25">
      <c r="A42" s="12" t="s">
        <v>91</v>
      </c>
      <c r="B42" s="12" t="s">
        <v>89</v>
      </c>
      <c r="C42" s="12" t="s">
        <v>348</v>
      </c>
      <c r="D42" s="12" t="s">
        <v>248</v>
      </c>
      <c r="E42" s="3" t="s">
        <v>219</v>
      </c>
      <c r="F42" s="3">
        <v>4</v>
      </c>
      <c r="G42" s="4" t="s">
        <v>227</v>
      </c>
      <c r="H42" s="11" t="s">
        <v>349</v>
      </c>
      <c r="I42" s="11" t="s">
        <v>92</v>
      </c>
      <c r="J42" s="11" t="s">
        <v>5</v>
      </c>
      <c r="K42" s="11" t="s">
        <v>208</v>
      </c>
      <c r="L42" s="2"/>
      <c r="M42" s="2"/>
      <c r="N42" s="2"/>
      <c r="O42" s="2"/>
      <c r="P42" s="2"/>
    </row>
    <row r="43" spans="1:16" x14ac:dyDescent="0.25">
      <c r="A43" s="13"/>
      <c r="B43" s="13"/>
      <c r="C43" s="13"/>
      <c r="D43" s="13"/>
      <c r="E43" s="3" t="s">
        <v>222</v>
      </c>
      <c r="F43" s="3">
        <v>2</v>
      </c>
      <c r="G43" s="4" t="s">
        <v>226</v>
      </c>
      <c r="H43" s="11" t="s">
        <v>349</v>
      </c>
      <c r="I43" s="11" t="s">
        <v>92</v>
      </c>
      <c r="J43" s="11" t="s">
        <v>5</v>
      </c>
      <c r="K43" s="11" t="s">
        <v>208</v>
      </c>
      <c r="L43" s="2"/>
      <c r="M43" s="2"/>
      <c r="N43" s="2"/>
      <c r="O43" s="2"/>
      <c r="P43" s="2"/>
    </row>
    <row r="44" spans="1:16" x14ac:dyDescent="0.25">
      <c r="A44" s="3" t="s">
        <v>93</v>
      </c>
      <c r="B44" s="3" t="s">
        <v>95</v>
      </c>
      <c r="C44" s="3" t="s">
        <v>96</v>
      </c>
      <c r="D44" s="3" t="s">
        <v>248</v>
      </c>
      <c r="E44" s="3" t="s">
        <v>219</v>
      </c>
      <c r="F44" s="3">
        <v>2</v>
      </c>
      <c r="G44" s="4" t="s">
        <v>94</v>
      </c>
      <c r="H44" s="3" t="s">
        <v>350</v>
      </c>
      <c r="I44" s="3" t="s">
        <v>97</v>
      </c>
      <c r="J44" s="3" t="s">
        <v>5</v>
      </c>
      <c r="K44" s="3" t="s">
        <v>208</v>
      </c>
      <c r="L44" s="2"/>
      <c r="M44" s="2"/>
      <c r="N44" s="2"/>
      <c r="O44" s="2"/>
      <c r="P44" s="2"/>
    </row>
    <row r="45" spans="1:16" x14ac:dyDescent="0.25">
      <c r="A45" s="3" t="s">
        <v>100</v>
      </c>
      <c r="B45" s="3" t="s">
        <v>99</v>
      </c>
      <c r="C45" s="3" t="s">
        <v>352</v>
      </c>
      <c r="D45" s="3" t="s">
        <v>249</v>
      </c>
      <c r="E45" s="3" t="s">
        <v>219</v>
      </c>
      <c r="F45" s="3">
        <v>1</v>
      </c>
      <c r="G45" s="4" t="s">
        <v>98</v>
      </c>
      <c r="H45" s="3" t="s">
        <v>351</v>
      </c>
      <c r="I45" s="3" t="s">
        <v>101</v>
      </c>
      <c r="J45" s="3" t="s">
        <v>5</v>
      </c>
      <c r="K45" s="3" t="s">
        <v>208</v>
      </c>
      <c r="L45" s="2"/>
      <c r="M45" s="2"/>
      <c r="N45" s="2"/>
      <c r="O45" s="2"/>
      <c r="P45" s="2"/>
    </row>
    <row r="46" spans="1:16" x14ac:dyDescent="0.25">
      <c r="A46" s="3" t="s">
        <v>353</v>
      </c>
      <c r="B46" s="3" t="s">
        <v>103</v>
      </c>
      <c r="C46" s="3" t="s">
        <v>356</v>
      </c>
      <c r="D46" s="3" t="s">
        <v>250</v>
      </c>
      <c r="E46" s="3" t="s">
        <v>219</v>
      </c>
      <c r="F46" s="3">
        <v>1</v>
      </c>
      <c r="G46" s="4" t="s">
        <v>102</v>
      </c>
      <c r="H46" s="3" t="s">
        <v>354</v>
      </c>
      <c r="I46" s="3" t="s">
        <v>355</v>
      </c>
      <c r="J46" s="3" t="s">
        <v>5</v>
      </c>
      <c r="K46" s="3" t="s">
        <v>208</v>
      </c>
      <c r="L46" s="2"/>
      <c r="M46" s="2"/>
      <c r="N46" s="2"/>
      <c r="O46" s="2"/>
      <c r="P46" s="2"/>
    </row>
    <row r="47" spans="1:16" x14ac:dyDescent="0.25">
      <c r="A47" s="3" t="s">
        <v>107</v>
      </c>
      <c r="B47" s="3" t="s">
        <v>71</v>
      </c>
      <c r="C47" s="3" t="s">
        <v>361</v>
      </c>
      <c r="D47" s="3" t="s">
        <v>251</v>
      </c>
      <c r="E47" s="3" t="s">
        <v>219</v>
      </c>
      <c r="F47" s="3">
        <v>2</v>
      </c>
      <c r="G47" s="4" t="s">
        <v>108</v>
      </c>
      <c r="H47" s="3" t="s">
        <v>360</v>
      </c>
      <c r="I47" s="3" t="s">
        <v>109</v>
      </c>
      <c r="J47" s="3" t="s">
        <v>5</v>
      </c>
      <c r="K47" s="3" t="s">
        <v>208</v>
      </c>
      <c r="L47" s="2"/>
      <c r="M47" s="2"/>
      <c r="N47" s="2"/>
      <c r="O47" s="2"/>
      <c r="P47" s="2"/>
    </row>
    <row r="48" spans="1:16" x14ac:dyDescent="0.25">
      <c r="A48" s="3" t="s">
        <v>363</v>
      </c>
      <c r="B48" s="3" t="s">
        <v>111</v>
      </c>
      <c r="C48" s="3" t="s">
        <v>365</v>
      </c>
      <c r="D48" s="3" t="s">
        <v>252</v>
      </c>
      <c r="E48" s="3" t="s">
        <v>219</v>
      </c>
      <c r="F48" s="3">
        <v>2</v>
      </c>
      <c r="G48" s="4" t="s">
        <v>110</v>
      </c>
      <c r="H48" s="3" t="s">
        <v>362</v>
      </c>
      <c r="I48" s="3" t="s">
        <v>364</v>
      </c>
      <c r="J48" s="3" t="s">
        <v>5</v>
      </c>
      <c r="K48" s="3" t="s">
        <v>208</v>
      </c>
      <c r="L48" s="2"/>
      <c r="M48" s="2"/>
      <c r="N48" s="2"/>
      <c r="O48" s="2"/>
      <c r="P48" s="2"/>
    </row>
    <row r="49" spans="1:16" x14ac:dyDescent="0.25">
      <c r="A49" s="3" t="s">
        <v>112</v>
      </c>
      <c r="B49" s="3" t="s">
        <v>55</v>
      </c>
      <c r="C49" s="3" t="s">
        <v>319</v>
      </c>
      <c r="D49" s="3" t="s">
        <v>251</v>
      </c>
      <c r="E49" s="3" t="s">
        <v>219</v>
      </c>
      <c r="F49" s="3">
        <v>1</v>
      </c>
      <c r="G49" s="4" t="s">
        <v>113</v>
      </c>
      <c r="H49" s="3" t="s">
        <v>366</v>
      </c>
      <c r="I49" s="3" t="s">
        <v>114</v>
      </c>
      <c r="J49" s="3" t="s">
        <v>5</v>
      </c>
      <c r="K49" s="3" t="s">
        <v>208</v>
      </c>
      <c r="L49" s="2"/>
      <c r="M49" s="2"/>
      <c r="N49" s="2"/>
      <c r="O49" s="2"/>
      <c r="P49" s="2"/>
    </row>
    <row r="50" spans="1:16" x14ac:dyDescent="0.25">
      <c r="A50" s="3" t="s">
        <v>116</v>
      </c>
      <c r="B50" s="3" t="s">
        <v>111</v>
      </c>
      <c r="C50" s="3" t="s">
        <v>368</v>
      </c>
      <c r="D50" s="3" t="s">
        <v>369</v>
      </c>
      <c r="E50" s="3" t="s">
        <v>219</v>
      </c>
      <c r="F50" s="3">
        <v>2</v>
      </c>
      <c r="G50" s="4" t="s">
        <v>115</v>
      </c>
      <c r="H50" s="3" t="s">
        <v>367</v>
      </c>
      <c r="I50" s="3" t="s">
        <v>117</v>
      </c>
      <c r="J50" s="3" t="s">
        <v>5</v>
      </c>
      <c r="K50" s="3" t="s">
        <v>208</v>
      </c>
      <c r="L50" s="2"/>
      <c r="M50" s="2"/>
      <c r="N50" s="2"/>
      <c r="O50" s="2"/>
      <c r="P50" s="2"/>
    </row>
    <row r="51" spans="1:16" ht="29.25" x14ac:dyDescent="0.25">
      <c r="A51" s="12" t="s">
        <v>127</v>
      </c>
      <c r="B51" s="12" t="s">
        <v>119</v>
      </c>
      <c r="C51" s="12" t="s">
        <v>370</v>
      </c>
      <c r="D51" s="12" t="s">
        <v>253</v>
      </c>
      <c r="E51" s="3" t="s">
        <v>219</v>
      </c>
      <c r="F51" s="3">
        <v>12</v>
      </c>
      <c r="G51" s="4" t="s">
        <v>118</v>
      </c>
      <c r="H51" s="11" t="s">
        <v>374</v>
      </c>
      <c r="I51" s="11" t="s">
        <v>372</v>
      </c>
      <c r="J51" s="11" t="s">
        <v>5</v>
      </c>
      <c r="K51" s="11" t="s">
        <v>208</v>
      </c>
      <c r="L51" s="2"/>
      <c r="M51" s="2"/>
      <c r="N51" s="2"/>
      <c r="O51" s="2"/>
      <c r="P51" s="2"/>
    </row>
    <row r="52" spans="1:16" x14ac:dyDescent="0.25">
      <c r="A52" s="13"/>
      <c r="B52" s="13"/>
      <c r="C52" s="13"/>
      <c r="D52" s="13"/>
      <c r="E52" s="3" t="s">
        <v>222</v>
      </c>
      <c r="F52" s="3">
        <v>8</v>
      </c>
      <c r="G52" s="4" t="s">
        <v>371</v>
      </c>
      <c r="H52" s="11" t="s">
        <v>374</v>
      </c>
      <c r="I52" s="11" t="s">
        <v>372</v>
      </c>
      <c r="J52" s="11" t="s">
        <v>5</v>
      </c>
      <c r="K52" s="11" t="s">
        <v>208</v>
      </c>
      <c r="L52" s="2"/>
      <c r="M52" s="2"/>
      <c r="N52" s="2"/>
      <c r="O52" s="2"/>
      <c r="P52" s="2"/>
    </row>
    <row r="53" spans="1:16" ht="31.5" customHeight="1" x14ac:dyDescent="0.25">
      <c r="A53" s="7" t="s">
        <v>375</v>
      </c>
      <c r="B53" s="3" t="s">
        <v>119</v>
      </c>
      <c r="C53" s="8" t="s">
        <v>236</v>
      </c>
      <c r="D53" s="3" t="s">
        <v>253</v>
      </c>
      <c r="E53" s="3" t="s">
        <v>219</v>
      </c>
      <c r="F53" s="3">
        <v>18</v>
      </c>
      <c r="G53" s="4" t="s">
        <v>120</v>
      </c>
      <c r="H53" s="8" t="s">
        <v>373</v>
      </c>
      <c r="I53" s="8" t="s">
        <v>376</v>
      </c>
      <c r="J53" s="3" t="s">
        <v>5</v>
      </c>
      <c r="K53" s="3" t="s">
        <v>208</v>
      </c>
      <c r="L53" s="2"/>
      <c r="M53" s="2"/>
      <c r="N53" s="2"/>
      <c r="O53" s="2"/>
      <c r="P53" s="2"/>
    </row>
    <row r="54" spans="1:16" x14ac:dyDescent="0.25">
      <c r="A54" s="3" t="s">
        <v>378</v>
      </c>
      <c r="B54" s="3" t="s">
        <v>119</v>
      </c>
      <c r="C54" s="3" t="s">
        <v>236</v>
      </c>
      <c r="D54" s="3" t="s">
        <v>253</v>
      </c>
      <c r="E54" s="3" t="s">
        <v>219</v>
      </c>
      <c r="F54" s="3">
        <v>2</v>
      </c>
      <c r="G54" s="4" t="s">
        <v>121</v>
      </c>
      <c r="H54" s="3" t="s">
        <v>377</v>
      </c>
      <c r="I54" s="3" t="s">
        <v>379</v>
      </c>
      <c r="J54" s="3" t="s">
        <v>5</v>
      </c>
      <c r="K54" s="3" t="s">
        <v>208</v>
      </c>
      <c r="L54" s="2"/>
      <c r="M54" s="2"/>
      <c r="N54" s="2"/>
      <c r="O54" s="2"/>
      <c r="P54" s="2"/>
    </row>
    <row r="55" spans="1:16" x14ac:dyDescent="0.25">
      <c r="A55" s="3" t="s">
        <v>381</v>
      </c>
      <c r="B55" s="3" t="s">
        <v>119</v>
      </c>
      <c r="C55" s="3" t="s">
        <v>236</v>
      </c>
      <c r="D55" s="3" t="s">
        <v>253</v>
      </c>
      <c r="E55" s="3" t="s">
        <v>219</v>
      </c>
      <c r="F55" s="3">
        <v>2</v>
      </c>
      <c r="G55" s="4" t="s">
        <v>122</v>
      </c>
      <c r="H55" s="3" t="s">
        <v>380</v>
      </c>
      <c r="I55" s="3" t="s">
        <v>382</v>
      </c>
      <c r="J55" s="3" t="s">
        <v>5</v>
      </c>
      <c r="K55" s="3" t="s">
        <v>208</v>
      </c>
      <c r="L55" s="2"/>
      <c r="M55" s="2"/>
      <c r="N55" s="2"/>
      <c r="O55" s="2"/>
      <c r="P55" s="2"/>
    </row>
    <row r="56" spans="1:16" x14ac:dyDescent="0.25">
      <c r="A56" s="3" t="s">
        <v>383</v>
      </c>
      <c r="B56" s="3" t="s">
        <v>119</v>
      </c>
      <c r="C56" s="3" t="s">
        <v>236</v>
      </c>
      <c r="D56" s="3" t="s">
        <v>253</v>
      </c>
      <c r="E56" s="3" t="s">
        <v>219</v>
      </c>
      <c r="F56" s="3">
        <v>2</v>
      </c>
      <c r="G56" s="4" t="s">
        <v>123</v>
      </c>
      <c r="H56" s="3" t="s">
        <v>385</v>
      </c>
      <c r="I56" s="3" t="s">
        <v>384</v>
      </c>
      <c r="J56" s="3" t="s">
        <v>5</v>
      </c>
      <c r="K56" s="3" t="s">
        <v>208</v>
      </c>
      <c r="L56" s="2"/>
      <c r="M56" s="2"/>
      <c r="N56" s="2"/>
      <c r="O56" s="2"/>
      <c r="P56" s="2"/>
    </row>
    <row r="57" spans="1:16" x14ac:dyDescent="0.25">
      <c r="A57" s="3" t="s">
        <v>387</v>
      </c>
      <c r="B57" s="3" t="s">
        <v>119</v>
      </c>
      <c r="C57" s="3" t="s">
        <v>236</v>
      </c>
      <c r="D57" s="3" t="s">
        <v>253</v>
      </c>
      <c r="E57" s="3" t="s">
        <v>219</v>
      </c>
      <c r="F57" s="3">
        <v>2</v>
      </c>
      <c r="G57" s="4" t="s">
        <v>398</v>
      </c>
      <c r="H57" s="3" t="s">
        <v>386</v>
      </c>
      <c r="I57" s="3" t="s">
        <v>388</v>
      </c>
      <c r="J57" s="3" t="s">
        <v>5</v>
      </c>
      <c r="K57" s="3" t="s">
        <v>208</v>
      </c>
      <c r="L57" s="2"/>
      <c r="M57" s="2"/>
      <c r="N57" s="2"/>
      <c r="O57" s="2"/>
      <c r="P57" s="2"/>
    </row>
    <row r="58" spans="1:16" x14ac:dyDescent="0.25">
      <c r="A58" s="3" t="s">
        <v>390</v>
      </c>
      <c r="B58" s="3" t="s">
        <v>119</v>
      </c>
      <c r="C58" s="3" t="s">
        <v>236</v>
      </c>
      <c r="D58" s="3" t="s">
        <v>253</v>
      </c>
      <c r="E58" s="3" t="s">
        <v>219</v>
      </c>
      <c r="F58" s="3">
        <v>2</v>
      </c>
      <c r="G58" s="4" t="s">
        <v>124</v>
      </c>
      <c r="H58" s="3" t="s">
        <v>389</v>
      </c>
      <c r="I58" s="3" t="s">
        <v>391</v>
      </c>
      <c r="J58" s="3" t="s">
        <v>5</v>
      </c>
      <c r="K58" s="3" t="s">
        <v>208</v>
      </c>
      <c r="L58" s="2"/>
      <c r="M58" s="2"/>
      <c r="N58" s="2"/>
      <c r="O58" s="2"/>
      <c r="P58" s="2"/>
    </row>
    <row r="59" spans="1:16" x14ac:dyDescent="0.25">
      <c r="A59" s="3" t="s">
        <v>393</v>
      </c>
      <c r="B59" s="3" t="s">
        <v>119</v>
      </c>
      <c r="C59" s="3" t="s">
        <v>236</v>
      </c>
      <c r="D59" s="3" t="s">
        <v>253</v>
      </c>
      <c r="E59" s="3" t="s">
        <v>219</v>
      </c>
      <c r="F59" s="3">
        <v>2</v>
      </c>
      <c r="G59" s="4" t="s">
        <v>125</v>
      </c>
      <c r="H59" s="3" t="s">
        <v>392</v>
      </c>
      <c r="I59" s="3" t="s">
        <v>394</v>
      </c>
      <c r="J59" s="3" t="s">
        <v>5</v>
      </c>
      <c r="K59" s="3" t="s">
        <v>208</v>
      </c>
      <c r="L59" s="2"/>
      <c r="M59" s="2"/>
      <c r="N59" s="2"/>
      <c r="O59" s="2"/>
      <c r="P59" s="2"/>
    </row>
    <row r="60" spans="1:16" x14ac:dyDescent="0.25">
      <c r="A60" s="3" t="s">
        <v>396</v>
      </c>
      <c r="B60" s="3" t="s">
        <v>119</v>
      </c>
      <c r="C60" s="3" t="s">
        <v>236</v>
      </c>
      <c r="D60" s="3" t="s">
        <v>253</v>
      </c>
      <c r="E60" s="3" t="s">
        <v>219</v>
      </c>
      <c r="F60" s="3">
        <v>7</v>
      </c>
      <c r="G60" s="4" t="s">
        <v>126</v>
      </c>
      <c r="H60" s="3" t="s">
        <v>395</v>
      </c>
      <c r="I60" s="3" t="s">
        <v>397</v>
      </c>
      <c r="J60" s="3" t="s">
        <v>5</v>
      </c>
      <c r="K60" s="3" t="s">
        <v>208</v>
      </c>
      <c r="L60" s="2"/>
      <c r="M60" s="2"/>
      <c r="N60" s="2"/>
      <c r="O60" s="2"/>
      <c r="P60" s="2"/>
    </row>
    <row r="61" spans="1:16" x14ac:dyDescent="0.25">
      <c r="A61" s="3" t="s">
        <v>400</v>
      </c>
      <c r="B61" s="3" t="s">
        <v>119</v>
      </c>
      <c r="C61" s="3" t="s">
        <v>236</v>
      </c>
      <c r="D61" s="3" t="s">
        <v>253</v>
      </c>
      <c r="E61" s="3" t="s">
        <v>219</v>
      </c>
      <c r="F61" s="3">
        <v>1</v>
      </c>
      <c r="G61" s="4" t="s">
        <v>128</v>
      </c>
      <c r="H61" s="3" t="s">
        <v>399</v>
      </c>
      <c r="I61" s="3" t="s">
        <v>401</v>
      </c>
      <c r="J61" s="3" t="s">
        <v>5</v>
      </c>
      <c r="K61" s="3" t="s">
        <v>208</v>
      </c>
      <c r="L61" s="2"/>
      <c r="M61" s="2"/>
      <c r="N61" s="2"/>
      <c r="O61" s="2"/>
      <c r="P61" s="2"/>
    </row>
    <row r="62" spans="1:16" x14ac:dyDescent="0.25">
      <c r="A62" s="3" t="s">
        <v>403</v>
      </c>
      <c r="B62" s="3" t="s">
        <v>119</v>
      </c>
      <c r="C62" s="3" t="s">
        <v>236</v>
      </c>
      <c r="D62" s="3" t="s">
        <v>253</v>
      </c>
      <c r="E62" s="3" t="s">
        <v>219</v>
      </c>
      <c r="F62" s="3">
        <v>1</v>
      </c>
      <c r="G62" s="4" t="s">
        <v>130</v>
      </c>
      <c r="H62" s="3" t="s">
        <v>402</v>
      </c>
      <c r="I62" s="3" t="s">
        <v>404</v>
      </c>
      <c r="J62" s="3" t="s">
        <v>5</v>
      </c>
      <c r="K62" s="3" t="s">
        <v>208</v>
      </c>
      <c r="L62" s="2"/>
      <c r="M62" s="2"/>
      <c r="N62" s="2"/>
      <c r="O62" s="2"/>
      <c r="P62" s="2"/>
    </row>
    <row r="63" spans="1:16" x14ac:dyDescent="0.25">
      <c r="A63" s="3" t="s">
        <v>406</v>
      </c>
      <c r="B63" s="3" t="s">
        <v>119</v>
      </c>
      <c r="C63" s="3" t="s">
        <v>236</v>
      </c>
      <c r="D63" s="3" t="s">
        <v>253</v>
      </c>
      <c r="E63" s="3" t="s">
        <v>222</v>
      </c>
      <c r="F63" s="3">
        <v>1</v>
      </c>
      <c r="G63" s="4" t="s">
        <v>131</v>
      </c>
      <c r="H63" s="3" t="s">
        <v>405</v>
      </c>
      <c r="I63" s="3" t="s">
        <v>407</v>
      </c>
      <c r="J63" s="3" t="s">
        <v>5</v>
      </c>
      <c r="K63" s="3" t="s">
        <v>208</v>
      </c>
      <c r="L63" s="2"/>
      <c r="M63" s="2"/>
      <c r="N63" s="2"/>
      <c r="O63" s="2"/>
      <c r="P63" s="2"/>
    </row>
    <row r="64" spans="1:16" x14ac:dyDescent="0.25">
      <c r="A64" s="3" t="s">
        <v>409</v>
      </c>
      <c r="B64" s="3" t="s">
        <v>119</v>
      </c>
      <c r="C64" s="3" t="s">
        <v>236</v>
      </c>
      <c r="D64" s="3" t="s">
        <v>253</v>
      </c>
      <c r="E64" s="3" t="s">
        <v>222</v>
      </c>
      <c r="F64" s="3">
        <v>1</v>
      </c>
      <c r="G64" s="4" t="s">
        <v>132</v>
      </c>
      <c r="H64" s="3" t="s">
        <v>408</v>
      </c>
      <c r="I64" s="3" t="s">
        <v>410</v>
      </c>
      <c r="J64" s="3" t="s">
        <v>5</v>
      </c>
      <c r="K64" s="3" t="s">
        <v>208</v>
      </c>
      <c r="L64" s="2"/>
      <c r="M64" s="2"/>
      <c r="N64" s="2"/>
      <c r="O64" s="2"/>
      <c r="P64" s="2"/>
    </row>
    <row r="65" spans="1:16" x14ac:dyDescent="0.25">
      <c r="A65" s="3" t="s">
        <v>412</v>
      </c>
      <c r="B65" s="3" t="s">
        <v>119</v>
      </c>
      <c r="C65" s="3" t="s">
        <v>236</v>
      </c>
      <c r="D65" s="3" t="s">
        <v>253</v>
      </c>
      <c r="E65" s="3" t="s">
        <v>222</v>
      </c>
      <c r="F65" s="3">
        <v>1</v>
      </c>
      <c r="G65" s="4" t="s">
        <v>133</v>
      </c>
      <c r="H65" s="3" t="s">
        <v>411</v>
      </c>
      <c r="I65" s="3" t="s">
        <v>413</v>
      </c>
      <c r="J65" s="3" t="s">
        <v>5</v>
      </c>
      <c r="K65" s="3" t="s">
        <v>208</v>
      </c>
      <c r="L65" s="2"/>
      <c r="M65" s="2"/>
      <c r="N65" s="2"/>
      <c r="O65" s="2"/>
      <c r="P65" s="2"/>
    </row>
    <row r="66" spans="1:16" x14ac:dyDescent="0.25">
      <c r="A66" s="3" t="s">
        <v>414</v>
      </c>
      <c r="B66" s="3" t="s">
        <v>119</v>
      </c>
      <c r="C66" s="3" t="s">
        <v>236</v>
      </c>
      <c r="D66" s="3" t="s">
        <v>253</v>
      </c>
      <c r="E66" s="3" t="s">
        <v>222</v>
      </c>
      <c r="F66" s="3">
        <v>1</v>
      </c>
      <c r="G66" s="4" t="s">
        <v>134</v>
      </c>
      <c r="H66" s="3" t="s">
        <v>415</v>
      </c>
      <c r="I66" s="3" t="s">
        <v>416</v>
      </c>
      <c r="J66" s="3" t="s">
        <v>5</v>
      </c>
      <c r="K66" s="3" t="s">
        <v>208</v>
      </c>
      <c r="L66" s="2"/>
      <c r="M66" s="2"/>
      <c r="N66" s="2"/>
      <c r="O66" s="2"/>
      <c r="P66" s="2"/>
    </row>
    <row r="67" spans="1:16" x14ac:dyDescent="0.25">
      <c r="A67" s="3" t="s">
        <v>418</v>
      </c>
      <c r="B67" s="3" t="s">
        <v>119</v>
      </c>
      <c r="C67" s="3" t="s">
        <v>236</v>
      </c>
      <c r="D67" s="3" t="s">
        <v>253</v>
      </c>
      <c r="E67" s="3" t="s">
        <v>222</v>
      </c>
      <c r="F67" s="3">
        <v>1</v>
      </c>
      <c r="G67" s="4" t="s">
        <v>135</v>
      </c>
      <c r="H67" s="3" t="s">
        <v>417</v>
      </c>
      <c r="I67" s="3" t="s">
        <v>419</v>
      </c>
      <c r="J67" s="3" t="s">
        <v>5</v>
      </c>
      <c r="K67" s="3" t="s">
        <v>208</v>
      </c>
      <c r="L67" s="2"/>
      <c r="M67" s="2"/>
      <c r="N67" s="2"/>
      <c r="O67" s="2"/>
      <c r="P67" s="2"/>
    </row>
    <row r="68" spans="1:16" x14ac:dyDescent="0.25">
      <c r="A68" s="12" t="s">
        <v>421</v>
      </c>
      <c r="B68" s="12" t="s">
        <v>119</v>
      </c>
      <c r="C68" s="12" t="s">
        <v>236</v>
      </c>
      <c r="D68" s="12" t="s">
        <v>253</v>
      </c>
      <c r="E68" s="3" t="s">
        <v>219</v>
      </c>
      <c r="F68" s="3">
        <v>3</v>
      </c>
      <c r="G68" s="4" t="s">
        <v>229</v>
      </c>
      <c r="H68" s="11" t="s">
        <v>420</v>
      </c>
      <c r="I68" s="11" t="s">
        <v>422</v>
      </c>
      <c r="J68" s="11" t="s">
        <v>5</v>
      </c>
      <c r="K68" s="11" t="s">
        <v>208</v>
      </c>
      <c r="L68" s="2"/>
      <c r="M68" s="2"/>
      <c r="N68" s="2"/>
      <c r="O68" s="2"/>
      <c r="P68" s="2"/>
    </row>
    <row r="69" spans="1:16" x14ac:dyDescent="0.25">
      <c r="A69" s="13"/>
      <c r="B69" s="13"/>
      <c r="C69" s="13"/>
      <c r="D69" s="13"/>
      <c r="E69" s="3" t="s">
        <v>222</v>
      </c>
      <c r="F69" s="3">
        <v>8</v>
      </c>
      <c r="G69" s="4" t="s">
        <v>228</v>
      </c>
      <c r="H69" s="11" t="s">
        <v>420</v>
      </c>
      <c r="I69" s="11" t="s">
        <v>422</v>
      </c>
      <c r="J69" s="11" t="s">
        <v>5</v>
      </c>
      <c r="K69" s="11" t="s">
        <v>208</v>
      </c>
      <c r="L69" s="2"/>
      <c r="M69" s="2"/>
      <c r="N69" s="2"/>
      <c r="O69" s="2"/>
      <c r="P69" s="2"/>
    </row>
    <row r="70" spans="1:16" x14ac:dyDescent="0.25">
      <c r="A70" s="3" t="s">
        <v>424</v>
      </c>
      <c r="B70" s="3" t="s">
        <v>119</v>
      </c>
      <c r="C70" s="3" t="s">
        <v>236</v>
      </c>
      <c r="D70" s="3" t="s">
        <v>253</v>
      </c>
      <c r="E70" s="3" t="s">
        <v>219</v>
      </c>
      <c r="F70" s="3">
        <v>1</v>
      </c>
      <c r="G70" s="4" t="s">
        <v>136</v>
      </c>
      <c r="H70" s="3" t="s">
        <v>423</v>
      </c>
      <c r="I70" s="3" t="s">
        <v>425</v>
      </c>
      <c r="J70" s="3" t="s">
        <v>5</v>
      </c>
      <c r="K70" s="3" t="s">
        <v>208</v>
      </c>
      <c r="L70" s="2"/>
      <c r="M70" s="2"/>
      <c r="N70" s="2"/>
      <c r="O70" s="2"/>
      <c r="P70" s="2"/>
    </row>
    <row r="71" spans="1:16" x14ac:dyDescent="0.25">
      <c r="A71" s="3" t="s">
        <v>427</v>
      </c>
      <c r="B71" s="3" t="s">
        <v>119</v>
      </c>
      <c r="C71" s="3" t="s">
        <v>236</v>
      </c>
      <c r="D71" s="3" t="s">
        <v>253</v>
      </c>
      <c r="E71" s="3" t="s">
        <v>219</v>
      </c>
      <c r="F71" s="3">
        <v>8</v>
      </c>
      <c r="G71" s="4" t="s">
        <v>137</v>
      </c>
      <c r="H71" s="3" t="s">
        <v>426</v>
      </c>
      <c r="I71" s="3" t="s">
        <v>428</v>
      </c>
      <c r="J71" s="3" t="s">
        <v>5</v>
      </c>
      <c r="K71" s="3" t="s">
        <v>208</v>
      </c>
      <c r="L71" s="2"/>
      <c r="M71" s="2"/>
      <c r="N71" s="2"/>
      <c r="O71" s="2"/>
      <c r="P71" s="2"/>
    </row>
    <row r="72" spans="1:16" x14ac:dyDescent="0.25">
      <c r="A72" s="3" t="s">
        <v>430</v>
      </c>
      <c r="B72" s="3" t="s">
        <v>119</v>
      </c>
      <c r="C72" s="3" t="s">
        <v>236</v>
      </c>
      <c r="D72" s="3" t="s">
        <v>253</v>
      </c>
      <c r="E72" s="3" t="s">
        <v>219</v>
      </c>
      <c r="F72" s="3">
        <v>2</v>
      </c>
      <c r="G72" s="4" t="s">
        <v>138</v>
      </c>
      <c r="H72" s="3" t="s">
        <v>429</v>
      </c>
      <c r="I72" s="3" t="s">
        <v>431</v>
      </c>
      <c r="J72" s="3" t="s">
        <v>5</v>
      </c>
      <c r="K72" s="3" t="s">
        <v>208</v>
      </c>
      <c r="L72" s="2"/>
      <c r="M72" s="2"/>
      <c r="N72" s="2"/>
      <c r="O72" s="2"/>
      <c r="P72" s="2"/>
    </row>
    <row r="73" spans="1:16" x14ac:dyDescent="0.25">
      <c r="A73" s="3" t="s">
        <v>433</v>
      </c>
      <c r="B73" s="3" t="s">
        <v>119</v>
      </c>
      <c r="C73" s="3" t="s">
        <v>236</v>
      </c>
      <c r="D73" s="3" t="s">
        <v>253</v>
      </c>
      <c r="E73" s="3" t="s">
        <v>222</v>
      </c>
      <c r="F73" s="3">
        <v>4</v>
      </c>
      <c r="G73" s="4" t="s">
        <v>139</v>
      </c>
      <c r="H73" s="3" t="s">
        <v>432</v>
      </c>
      <c r="I73" s="3" t="s">
        <v>434</v>
      </c>
      <c r="J73" s="3" t="s">
        <v>5</v>
      </c>
      <c r="K73" s="3" t="s">
        <v>208</v>
      </c>
      <c r="L73" s="2"/>
      <c r="M73" s="2"/>
      <c r="N73" s="2"/>
      <c r="O73" s="2"/>
      <c r="P73" s="2"/>
    </row>
    <row r="74" spans="1:16" x14ac:dyDescent="0.25">
      <c r="A74" s="3" t="s">
        <v>435</v>
      </c>
      <c r="B74" s="3" t="s">
        <v>119</v>
      </c>
      <c r="C74" s="3" t="s">
        <v>236</v>
      </c>
      <c r="D74" s="3" t="s">
        <v>253</v>
      </c>
      <c r="E74" s="3" t="s">
        <v>222</v>
      </c>
      <c r="F74" s="3">
        <v>2</v>
      </c>
      <c r="G74" s="4" t="s">
        <v>140</v>
      </c>
      <c r="H74" s="3" t="s">
        <v>479</v>
      </c>
      <c r="I74" s="3" t="s">
        <v>436</v>
      </c>
      <c r="J74" s="3" t="s">
        <v>5</v>
      </c>
      <c r="K74" s="3" t="s">
        <v>208</v>
      </c>
      <c r="L74" s="2"/>
      <c r="M74" s="2"/>
      <c r="N74" s="2"/>
      <c r="O74" s="2"/>
      <c r="P74" s="2"/>
    </row>
    <row r="75" spans="1:16" x14ac:dyDescent="0.25">
      <c r="A75" s="3" t="s">
        <v>437</v>
      </c>
      <c r="B75" s="3" t="s">
        <v>119</v>
      </c>
      <c r="C75" s="3" t="s">
        <v>236</v>
      </c>
      <c r="D75" s="3" t="s">
        <v>253</v>
      </c>
      <c r="E75" s="3" t="s">
        <v>222</v>
      </c>
      <c r="F75" s="3">
        <v>2</v>
      </c>
      <c r="G75" s="4" t="s">
        <v>141</v>
      </c>
      <c r="H75" s="3" t="s">
        <v>480</v>
      </c>
      <c r="I75" s="3" t="s">
        <v>438</v>
      </c>
      <c r="J75" s="3" t="s">
        <v>5</v>
      </c>
      <c r="K75" s="3" t="s">
        <v>208</v>
      </c>
      <c r="L75" s="2"/>
      <c r="M75" s="2"/>
      <c r="N75" s="2"/>
      <c r="O75" s="2"/>
      <c r="P75" s="2"/>
    </row>
    <row r="76" spans="1:16" x14ac:dyDescent="0.25">
      <c r="A76" s="3" t="s">
        <v>439</v>
      </c>
      <c r="B76" s="3" t="s">
        <v>119</v>
      </c>
      <c r="C76" s="3" t="s">
        <v>236</v>
      </c>
      <c r="D76" s="3" t="s">
        <v>253</v>
      </c>
      <c r="E76" s="3" t="s">
        <v>219</v>
      </c>
      <c r="F76" s="3">
        <v>1</v>
      </c>
      <c r="G76" s="4" t="s">
        <v>142</v>
      </c>
      <c r="H76" s="3" t="s">
        <v>481</v>
      </c>
      <c r="I76" s="3" t="s">
        <v>440</v>
      </c>
      <c r="J76" s="3" t="s">
        <v>5</v>
      </c>
      <c r="K76" s="3" t="s">
        <v>208</v>
      </c>
      <c r="L76" s="2"/>
      <c r="M76" s="2"/>
      <c r="N76" s="2"/>
      <c r="O76" s="2"/>
      <c r="P76" s="2"/>
    </row>
    <row r="77" spans="1:16" x14ac:dyDescent="0.25">
      <c r="A77" s="3" t="s">
        <v>441</v>
      </c>
      <c r="B77" s="3" t="s">
        <v>119</v>
      </c>
      <c r="C77" s="3" t="s">
        <v>236</v>
      </c>
      <c r="D77" s="3" t="s">
        <v>253</v>
      </c>
      <c r="E77" s="3" t="s">
        <v>219</v>
      </c>
      <c r="F77" s="3">
        <v>4</v>
      </c>
      <c r="G77" s="4" t="s">
        <v>143</v>
      </c>
      <c r="H77" s="3" t="s">
        <v>482</v>
      </c>
      <c r="I77" s="3" t="s">
        <v>442</v>
      </c>
      <c r="J77" s="3" t="s">
        <v>5</v>
      </c>
      <c r="K77" s="3" t="s">
        <v>208</v>
      </c>
      <c r="L77" s="2"/>
      <c r="M77" s="2"/>
      <c r="N77" s="2"/>
      <c r="O77" s="2"/>
      <c r="P77" s="2"/>
    </row>
    <row r="78" spans="1:16" x14ac:dyDescent="0.25">
      <c r="A78" s="3" t="s">
        <v>443</v>
      </c>
      <c r="B78" s="3" t="s">
        <v>119</v>
      </c>
      <c r="C78" s="3" t="s">
        <v>236</v>
      </c>
      <c r="D78" s="3" t="s">
        <v>253</v>
      </c>
      <c r="E78" s="3" t="s">
        <v>219</v>
      </c>
      <c r="F78" s="3">
        <v>4</v>
      </c>
      <c r="G78" s="4" t="s">
        <v>144</v>
      </c>
      <c r="H78" s="3" t="s">
        <v>483</v>
      </c>
      <c r="I78" s="3" t="s">
        <v>444</v>
      </c>
      <c r="J78" s="3" t="s">
        <v>5</v>
      </c>
      <c r="K78" s="3" t="s">
        <v>208</v>
      </c>
      <c r="L78" s="2"/>
      <c r="M78" s="2"/>
      <c r="N78" s="2"/>
      <c r="O78" s="2"/>
      <c r="P78" s="2"/>
    </row>
    <row r="79" spans="1:16" x14ac:dyDescent="0.25">
      <c r="A79" s="3" t="s">
        <v>445</v>
      </c>
      <c r="B79" s="3" t="s">
        <v>119</v>
      </c>
      <c r="C79" s="3" t="s">
        <v>236</v>
      </c>
      <c r="D79" s="3" t="s">
        <v>253</v>
      </c>
      <c r="E79" s="3" t="s">
        <v>219</v>
      </c>
      <c r="F79" s="3">
        <v>1</v>
      </c>
      <c r="G79" s="4" t="s">
        <v>145</v>
      </c>
      <c r="H79" s="3" t="s">
        <v>484</v>
      </c>
      <c r="I79" s="3" t="s">
        <v>446</v>
      </c>
      <c r="J79" s="3" t="s">
        <v>5</v>
      </c>
      <c r="K79" s="3" t="s">
        <v>208</v>
      </c>
      <c r="L79" s="2"/>
      <c r="M79" s="2"/>
      <c r="N79" s="2"/>
      <c r="O79" s="2"/>
      <c r="P79" s="2"/>
    </row>
    <row r="80" spans="1:16" x14ac:dyDescent="0.25">
      <c r="A80" s="3" t="s">
        <v>447</v>
      </c>
      <c r="B80" s="3" t="s">
        <v>119</v>
      </c>
      <c r="C80" s="3" t="s">
        <v>236</v>
      </c>
      <c r="D80" s="3" t="s">
        <v>253</v>
      </c>
      <c r="E80" s="3" t="s">
        <v>219</v>
      </c>
      <c r="F80" s="3">
        <v>2</v>
      </c>
      <c r="G80" s="4" t="s">
        <v>146</v>
      </c>
      <c r="H80" s="3" t="s">
        <v>485</v>
      </c>
      <c r="I80" s="3" t="s">
        <v>448</v>
      </c>
      <c r="J80" s="3" t="s">
        <v>5</v>
      </c>
      <c r="K80" s="3" t="s">
        <v>208</v>
      </c>
      <c r="L80" s="2"/>
      <c r="M80" s="2"/>
      <c r="N80" s="2"/>
      <c r="O80" s="2"/>
      <c r="P80" s="2"/>
    </row>
    <row r="81" spans="1:16" x14ac:dyDescent="0.25">
      <c r="A81" s="3" t="s">
        <v>147</v>
      </c>
      <c r="B81" s="3" t="s">
        <v>149</v>
      </c>
      <c r="C81" s="3" t="s">
        <v>449</v>
      </c>
      <c r="D81" s="3" t="s">
        <v>254</v>
      </c>
      <c r="E81" s="3" t="s">
        <v>219</v>
      </c>
      <c r="F81" s="3">
        <v>1</v>
      </c>
      <c r="G81" s="4" t="s">
        <v>148</v>
      </c>
      <c r="H81" s="3" t="s">
        <v>450</v>
      </c>
      <c r="I81" s="3" t="s">
        <v>150</v>
      </c>
      <c r="J81" s="3" t="s">
        <v>5</v>
      </c>
      <c r="K81" s="3" t="s">
        <v>208</v>
      </c>
      <c r="L81" s="2"/>
      <c r="M81" s="2"/>
      <c r="N81" s="2"/>
      <c r="O81" s="2"/>
      <c r="P81" s="2"/>
    </row>
    <row r="82" spans="1:16" x14ac:dyDescent="0.25">
      <c r="A82" s="3" t="s">
        <v>159</v>
      </c>
      <c r="B82" s="3" t="s">
        <v>161</v>
      </c>
      <c r="C82" s="3" t="s">
        <v>455</v>
      </c>
      <c r="D82" s="3" t="s">
        <v>256</v>
      </c>
      <c r="E82" s="3" t="s">
        <v>219</v>
      </c>
      <c r="F82" s="3">
        <v>2</v>
      </c>
      <c r="G82" s="4" t="s">
        <v>160</v>
      </c>
      <c r="H82" s="3" t="s">
        <v>454</v>
      </c>
      <c r="I82" s="3" t="s">
        <v>162</v>
      </c>
      <c r="J82" s="3" t="s">
        <v>5</v>
      </c>
      <c r="K82" s="3" t="s">
        <v>208</v>
      </c>
      <c r="L82" s="2"/>
      <c r="M82" s="2"/>
      <c r="N82" s="2"/>
      <c r="O82" s="2"/>
      <c r="P82" s="2"/>
    </row>
    <row r="83" spans="1:16" x14ac:dyDescent="0.25">
      <c r="A83" s="3" t="s">
        <v>163</v>
      </c>
      <c r="B83" s="3" t="s">
        <v>165</v>
      </c>
      <c r="C83" s="3" t="s">
        <v>455</v>
      </c>
      <c r="D83" s="3" t="s">
        <v>255</v>
      </c>
      <c r="E83" s="3" t="s">
        <v>222</v>
      </c>
      <c r="F83" s="3">
        <v>2</v>
      </c>
      <c r="G83" s="4" t="s">
        <v>164</v>
      </c>
      <c r="H83" s="3" t="s">
        <v>456</v>
      </c>
      <c r="I83" s="3" t="s">
        <v>166</v>
      </c>
      <c r="J83" s="3" t="s">
        <v>5</v>
      </c>
      <c r="K83" s="3" t="s">
        <v>208</v>
      </c>
      <c r="L83" s="2"/>
      <c r="M83" s="2"/>
      <c r="N83" s="2"/>
      <c r="O83" s="2"/>
      <c r="P83" s="2"/>
    </row>
    <row r="84" spans="1:16" x14ac:dyDescent="0.25">
      <c r="A84" s="3" t="s">
        <v>167</v>
      </c>
      <c r="B84" s="3" t="s">
        <v>169</v>
      </c>
      <c r="C84" s="3" t="s">
        <v>455</v>
      </c>
      <c r="D84" s="3" t="s">
        <v>256</v>
      </c>
      <c r="E84" s="3" t="s">
        <v>219</v>
      </c>
      <c r="F84" s="3">
        <v>1</v>
      </c>
      <c r="G84" s="4" t="s">
        <v>168</v>
      </c>
      <c r="H84" s="3" t="s">
        <v>457</v>
      </c>
      <c r="I84" s="3" t="s">
        <v>170</v>
      </c>
      <c r="J84" s="3" t="s">
        <v>5</v>
      </c>
      <c r="K84" s="3" t="s">
        <v>208</v>
      </c>
      <c r="L84" s="2"/>
      <c r="M84" s="2"/>
      <c r="N84" s="2"/>
      <c r="O84" s="2"/>
      <c r="P84" s="2"/>
    </row>
    <row r="85" spans="1:16" x14ac:dyDescent="0.25">
      <c r="A85" s="3" t="s">
        <v>458</v>
      </c>
      <c r="B85" s="3" t="s">
        <v>172</v>
      </c>
      <c r="C85" s="3" t="s">
        <v>460</v>
      </c>
      <c r="D85" s="3" t="s">
        <v>257</v>
      </c>
      <c r="E85" s="3" t="s">
        <v>219</v>
      </c>
      <c r="F85" s="3">
        <v>1</v>
      </c>
      <c r="G85" s="4" t="s">
        <v>171</v>
      </c>
      <c r="H85" s="3" t="s">
        <v>459</v>
      </c>
      <c r="I85" s="3" t="s">
        <v>173</v>
      </c>
      <c r="J85" s="3" t="s">
        <v>5</v>
      </c>
      <c r="K85" s="3" t="s">
        <v>208</v>
      </c>
      <c r="L85" s="2"/>
      <c r="M85" s="2"/>
      <c r="N85" s="2"/>
      <c r="O85" s="2"/>
      <c r="P85" s="2"/>
    </row>
    <row r="86" spans="1:16" x14ac:dyDescent="0.25">
      <c r="A86" s="3" t="s">
        <v>174</v>
      </c>
      <c r="B86" s="3" t="s">
        <v>176</v>
      </c>
      <c r="C86" s="3" t="s">
        <v>461</v>
      </c>
      <c r="D86" s="3" t="s">
        <v>209</v>
      </c>
      <c r="E86" s="3" t="s">
        <v>219</v>
      </c>
      <c r="F86" s="3">
        <v>1</v>
      </c>
      <c r="G86" s="4" t="s">
        <v>175</v>
      </c>
      <c r="H86" s="3" t="s">
        <v>462</v>
      </c>
      <c r="I86" s="3" t="s">
        <v>177</v>
      </c>
      <c r="J86" s="3" t="s">
        <v>5</v>
      </c>
      <c r="K86" s="3" t="s">
        <v>208</v>
      </c>
      <c r="L86" s="2"/>
      <c r="M86" s="2"/>
      <c r="N86" s="2"/>
      <c r="O86" s="2"/>
      <c r="P86" s="2"/>
    </row>
    <row r="87" spans="1:16" x14ac:dyDescent="0.25">
      <c r="A87" s="3" t="s">
        <v>466</v>
      </c>
      <c r="B87" s="3" t="s">
        <v>179</v>
      </c>
      <c r="C87" s="3" t="s">
        <v>217</v>
      </c>
      <c r="D87" s="3" t="s">
        <v>256</v>
      </c>
      <c r="E87" s="3" t="s">
        <v>219</v>
      </c>
      <c r="F87" s="3">
        <v>1</v>
      </c>
      <c r="G87" s="4" t="s">
        <v>178</v>
      </c>
      <c r="H87" s="3" t="s">
        <v>463</v>
      </c>
      <c r="I87" s="3" t="s">
        <v>180</v>
      </c>
      <c r="J87" s="3" t="s">
        <v>5</v>
      </c>
      <c r="K87" s="3" t="s">
        <v>208</v>
      </c>
      <c r="L87" s="2"/>
      <c r="M87" s="2"/>
      <c r="N87" s="2"/>
      <c r="O87" s="2"/>
      <c r="P87" s="2"/>
    </row>
    <row r="88" spans="1:16" x14ac:dyDescent="0.25">
      <c r="A88" s="3" t="s">
        <v>181</v>
      </c>
      <c r="B88" s="3" t="s">
        <v>183</v>
      </c>
      <c r="C88" s="3" t="s">
        <v>464</v>
      </c>
      <c r="D88" s="3" t="s">
        <v>209</v>
      </c>
      <c r="E88" s="3" t="s">
        <v>219</v>
      </c>
      <c r="F88" s="3">
        <v>1</v>
      </c>
      <c r="G88" s="4" t="s">
        <v>182</v>
      </c>
      <c r="H88" s="3" t="s">
        <v>465</v>
      </c>
      <c r="I88" s="3" t="s">
        <v>184</v>
      </c>
      <c r="J88" s="3" t="s">
        <v>5</v>
      </c>
      <c r="K88" s="3" t="s">
        <v>208</v>
      </c>
      <c r="L88" s="2"/>
      <c r="M88" s="2"/>
      <c r="N88" s="2"/>
      <c r="O88" s="2"/>
      <c r="P88" s="2"/>
    </row>
    <row r="89" spans="1:16" x14ac:dyDescent="0.25">
      <c r="A89" s="3" t="s">
        <v>185</v>
      </c>
      <c r="B89" s="3" t="s">
        <v>187</v>
      </c>
      <c r="C89" s="3" t="s">
        <v>461</v>
      </c>
      <c r="D89" s="3" t="s">
        <v>209</v>
      </c>
      <c r="E89" s="3" t="s">
        <v>222</v>
      </c>
      <c r="F89" s="3">
        <v>2</v>
      </c>
      <c r="G89" s="4" t="s">
        <v>186</v>
      </c>
      <c r="H89" s="3" t="s">
        <v>467</v>
      </c>
      <c r="I89" s="3" t="s">
        <v>188</v>
      </c>
      <c r="J89" s="3" t="s">
        <v>5</v>
      </c>
      <c r="K89" s="3" t="s">
        <v>208</v>
      </c>
      <c r="L89" s="2"/>
      <c r="M89" s="2"/>
      <c r="N89" s="2"/>
      <c r="O89" s="2"/>
      <c r="P89" s="2"/>
    </row>
    <row r="90" spans="1:16" x14ac:dyDescent="0.25">
      <c r="A90" s="3" t="s">
        <v>189</v>
      </c>
      <c r="B90" s="3" t="s">
        <v>191</v>
      </c>
      <c r="C90" s="3" t="s">
        <v>192</v>
      </c>
      <c r="D90" s="3" t="s">
        <v>209</v>
      </c>
      <c r="E90" s="3" t="s">
        <v>219</v>
      </c>
      <c r="F90" s="3">
        <v>1</v>
      </c>
      <c r="G90" s="4" t="s">
        <v>190</v>
      </c>
      <c r="H90" s="3" t="s">
        <v>468</v>
      </c>
      <c r="I90" s="3" t="s">
        <v>193</v>
      </c>
      <c r="J90" s="3" t="s">
        <v>5</v>
      </c>
      <c r="K90" s="3" t="s">
        <v>208</v>
      </c>
      <c r="L90" s="2"/>
      <c r="M90" s="2"/>
      <c r="N90" s="2"/>
      <c r="O90" s="2"/>
      <c r="P90" s="2"/>
    </row>
    <row r="91" spans="1:16" x14ac:dyDescent="0.25">
      <c r="A91" s="3" t="s">
        <v>194</v>
      </c>
      <c r="B91" s="3" t="s">
        <v>196</v>
      </c>
      <c r="C91" s="3" t="s">
        <v>469</v>
      </c>
      <c r="D91" s="3" t="s">
        <v>257</v>
      </c>
      <c r="E91" s="3" t="s">
        <v>219</v>
      </c>
      <c r="F91" s="3">
        <v>1</v>
      </c>
      <c r="G91" s="4" t="s">
        <v>195</v>
      </c>
      <c r="H91" s="3" t="s">
        <v>470</v>
      </c>
      <c r="I91" s="3" t="s">
        <v>197</v>
      </c>
      <c r="J91" s="3" t="s">
        <v>5</v>
      </c>
      <c r="K91" s="3" t="s">
        <v>208</v>
      </c>
      <c r="L91" s="2"/>
      <c r="M91" s="2"/>
      <c r="N91" s="2"/>
      <c r="O91" s="2"/>
      <c r="P91" s="2"/>
    </row>
    <row r="92" spans="1:16" x14ac:dyDescent="0.25">
      <c r="A92" s="3" t="s">
        <v>200</v>
      </c>
      <c r="B92" s="3" t="s">
        <v>199</v>
      </c>
      <c r="C92" s="3" t="s">
        <v>348</v>
      </c>
      <c r="D92" s="3" t="s">
        <v>258</v>
      </c>
      <c r="E92" s="3" t="s">
        <v>219</v>
      </c>
      <c r="F92" s="3">
        <v>1</v>
      </c>
      <c r="G92" s="4" t="s">
        <v>198</v>
      </c>
      <c r="H92" s="3" t="s">
        <v>471</v>
      </c>
      <c r="I92" s="3" t="s">
        <v>201</v>
      </c>
      <c r="J92" s="3" t="s">
        <v>5</v>
      </c>
      <c r="K92" s="3" t="s">
        <v>208</v>
      </c>
      <c r="L92" s="2"/>
      <c r="M92" s="2"/>
      <c r="N92" s="2"/>
      <c r="O92" s="2"/>
      <c r="P92" s="2"/>
    </row>
    <row r="93" spans="1:16" x14ac:dyDescent="0.25">
      <c r="A93" s="3" t="s">
        <v>204</v>
      </c>
      <c r="B93" s="3" t="s">
        <v>203</v>
      </c>
      <c r="C93" s="3" t="s">
        <v>473</v>
      </c>
      <c r="D93" s="3" t="s">
        <v>259</v>
      </c>
      <c r="E93" s="3" t="s">
        <v>219</v>
      </c>
      <c r="F93" s="3">
        <v>1</v>
      </c>
      <c r="G93" s="4" t="s">
        <v>202</v>
      </c>
      <c r="H93" s="3" t="s">
        <v>472</v>
      </c>
      <c r="I93" s="3" t="s">
        <v>205</v>
      </c>
      <c r="J93" s="3" t="s">
        <v>5</v>
      </c>
      <c r="K93" s="3" t="s">
        <v>208</v>
      </c>
      <c r="L93" s="2"/>
      <c r="M93" s="2"/>
      <c r="N93" s="2"/>
      <c r="O93" s="2"/>
      <c r="P93" s="2"/>
    </row>
    <row r="94" spans="1:16" x14ac:dyDescent="0.25">
      <c r="A94" s="3" t="s">
        <v>477</v>
      </c>
      <c r="B94" s="3" t="s">
        <v>477</v>
      </c>
      <c r="C94" s="3" t="s">
        <v>45</v>
      </c>
      <c r="D94" s="3" t="s">
        <v>242</v>
      </c>
      <c r="E94" s="3" t="s">
        <v>220</v>
      </c>
      <c r="F94" s="3">
        <v>1</v>
      </c>
      <c r="G94" s="4" t="s">
        <v>44</v>
      </c>
      <c r="H94" s="3" t="s">
        <v>476</v>
      </c>
      <c r="I94" s="3" t="s">
        <v>478</v>
      </c>
      <c r="J94" s="3" t="s">
        <v>5</v>
      </c>
      <c r="K94" s="3" t="s">
        <v>208</v>
      </c>
      <c r="L94" s="2"/>
      <c r="M94" s="2"/>
      <c r="N94" s="2"/>
      <c r="O94" s="2"/>
      <c r="P94" s="2"/>
    </row>
    <row r="95" spans="1:16" x14ac:dyDescent="0.25">
      <c r="A95" s="3" t="s">
        <v>151</v>
      </c>
      <c r="B95" s="3" t="s">
        <v>153</v>
      </c>
      <c r="C95" s="3" t="s">
        <v>449</v>
      </c>
      <c r="D95" s="3" t="s">
        <v>254</v>
      </c>
      <c r="E95" s="3" t="s">
        <v>220</v>
      </c>
      <c r="F95" s="3">
        <v>1</v>
      </c>
      <c r="G95" s="4" t="s">
        <v>152</v>
      </c>
      <c r="H95" s="3" t="s">
        <v>451</v>
      </c>
      <c r="I95" s="3" t="s">
        <v>154</v>
      </c>
      <c r="J95" s="3" t="s">
        <v>5</v>
      </c>
      <c r="K95" s="3" t="s">
        <v>208</v>
      </c>
      <c r="L95" s="2"/>
      <c r="M95" s="2"/>
      <c r="N95" s="2"/>
      <c r="O95" s="2"/>
      <c r="P95" s="2"/>
    </row>
    <row r="96" spans="1:16" x14ac:dyDescent="0.25">
      <c r="A96" s="3" t="s">
        <v>155</v>
      </c>
      <c r="B96" s="3" t="s">
        <v>157</v>
      </c>
      <c r="C96" s="3" t="s">
        <v>452</v>
      </c>
      <c r="D96" s="3" t="s">
        <v>260</v>
      </c>
      <c r="E96" s="3" t="s">
        <v>220</v>
      </c>
      <c r="F96" s="3">
        <v>2</v>
      </c>
      <c r="G96" s="4" t="s">
        <v>156</v>
      </c>
      <c r="H96" s="3" t="s">
        <v>453</v>
      </c>
      <c r="I96" s="3" t="s">
        <v>158</v>
      </c>
      <c r="J96" s="3" t="s">
        <v>5</v>
      </c>
      <c r="K96" s="3" t="s">
        <v>208</v>
      </c>
      <c r="L96" s="2"/>
      <c r="M96" s="2"/>
      <c r="N96" s="2"/>
      <c r="O96" s="2"/>
      <c r="P96" s="2"/>
    </row>
    <row r="97" spans="1:16" s="10" customFormat="1" x14ac:dyDescent="0.25">
      <c r="A97" s="3" t="s">
        <v>31</v>
      </c>
      <c r="B97" s="3" t="s">
        <v>30</v>
      </c>
      <c r="C97" s="3" t="s">
        <v>313</v>
      </c>
      <c r="D97" s="3" t="s">
        <v>242</v>
      </c>
      <c r="E97" s="3" t="s">
        <v>220</v>
      </c>
      <c r="F97" s="3">
        <v>1</v>
      </c>
      <c r="G97" s="4" t="s">
        <v>29</v>
      </c>
      <c r="H97" s="3" t="s">
        <v>315</v>
      </c>
      <c r="I97" s="3" t="s">
        <v>474</v>
      </c>
      <c r="J97" s="3" t="s">
        <v>5</v>
      </c>
      <c r="K97" s="3" t="s">
        <v>208</v>
      </c>
      <c r="L97" s="2" t="s">
        <v>129</v>
      </c>
      <c r="M97" s="9"/>
      <c r="N97" s="9"/>
      <c r="O97" s="9"/>
      <c r="P97" s="9"/>
    </row>
    <row r="98" spans="1:16" s="10" customFormat="1" x14ac:dyDescent="0.25">
      <c r="A98" s="3" t="s">
        <v>36</v>
      </c>
      <c r="B98" s="3" t="s">
        <v>38</v>
      </c>
      <c r="C98" s="3" t="s">
        <v>313</v>
      </c>
      <c r="D98" s="3" t="s">
        <v>242</v>
      </c>
      <c r="E98" s="3" t="s">
        <v>220</v>
      </c>
      <c r="F98" s="3">
        <v>2</v>
      </c>
      <c r="G98" s="4" t="s">
        <v>37</v>
      </c>
      <c r="H98" s="3" t="s">
        <v>314</v>
      </c>
      <c r="I98" s="3" t="s">
        <v>39</v>
      </c>
      <c r="J98" s="3" t="s">
        <v>5</v>
      </c>
      <c r="K98" s="3" t="s">
        <v>208</v>
      </c>
      <c r="L98" s="2" t="s">
        <v>129</v>
      </c>
      <c r="M98" s="9"/>
      <c r="N98" s="9"/>
      <c r="O98" s="9"/>
      <c r="P98" s="9"/>
    </row>
    <row r="99" spans="1:16" s="10" customFormat="1" x14ac:dyDescent="0.25">
      <c r="A99" s="3" t="s">
        <v>358</v>
      </c>
      <c r="B99" s="3" t="s">
        <v>105</v>
      </c>
      <c r="C99" s="3" t="s">
        <v>357</v>
      </c>
      <c r="D99" s="3" t="s">
        <v>250</v>
      </c>
      <c r="E99" s="3" t="s">
        <v>220</v>
      </c>
      <c r="F99" s="3">
        <v>4</v>
      </c>
      <c r="G99" s="4" t="s">
        <v>104</v>
      </c>
      <c r="H99" s="3" t="s">
        <v>359</v>
      </c>
      <c r="I99" s="3" t="s">
        <v>106</v>
      </c>
      <c r="J99" s="3" t="s">
        <v>5</v>
      </c>
      <c r="K99" s="3" t="s">
        <v>208</v>
      </c>
      <c r="L99" s="2" t="s">
        <v>129</v>
      </c>
      <c r="M99" s="9"/>
      <c r="N99" s="9"/>
      <c r="O99" s="9"/>
      <c r="P99" s="9"/>
    </row>
  </sheetData>
  <autoFilter ref="A4:K99" xr:uid="{00000000-0001-0000-0000-000000000000}"/>
  <mergeCells count="24">
    <mergeCell ref="A68:A69"/>
    <mergeCell ref="B68:B69"/>
    <mergeCell ref="C68:C69"/>
    <mergeCell ref="D68:D69"/>
    <mergeCell ref="A42:A43"/>
    <mergeCell ref="B42:B43"/>
    <mergeCell ref="C42:C43"/>
    <mergeCell ref="D42:D43"/>
    <mergeCell ref="A51:A52"/>
    <mergeCell ref="B51:B52"/>
    <mergeCell ref="C51:C52"/>
    <mergeCell ref="D51:D52"/>
    <mergeCell ref="A6:A7"/>
    <mergeCell ref="B6:B7"/>
    <mergeCell ref="C6:C7"/>
    <mergeCell ref="D6:D7"/>
    <mergeCell ref="B32:B33"/>
    <mergeCell ref="A32:A33"/>
    <mergeCell ref="C32:C33"/>
    <mergeCell ref="D32:D33"/>
    <mergeCell ref="A12:A13"/>
    <mergeCell ref="B12:B13"/>
    <mergeCell ref="C12:C13"/>
    <mergeCell ref="D12:D13"/>
  </mergeCells>
  <printOptions gridLines="1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BOM_MODBUS Gateway IoT BD</vt:lpstr>
      <vt:lpstr>'BOM_MODBUS Gateway IoT BD'!_FilterDatabase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2025-04-04T14:13:09Z</dcterms:created>
  <dcterms:modified xsi:type="dcterms:W3CDTF">2025-04-17T14:36:12Z</dcterms:modified>
  <cp:category/>
</cp:coreProperties>
</file>